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884a3f7e6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单" sheetId="1" r:id="R213077c32b6a4496"/>
    <x:sheet xmlns:r="http://schemas.openxmlformats.org/officeDocument/2006/relationships" name="订阅价格参考" sheetId="2" r:id="Rb2b5a65b482b4adf"/>
    <x:sheet xmlns:r="http://schemas.openxmlformats.org/officeDocument/2006/relationships" name="买断价格参考" sheetId="3" r:id="R75de1697b94a4ce4"/>
    <x:sheet xmlns:r="http://schemas.openxmlformats.org/officeDocument/2006/relationships" name="使用说明与条款" sheetId="4" r:id="R05e8b1617f49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¥#,##0.00"/>
    <x:numFmt numFmtId="202" formatCode="0.##"/>
    <x:numFmt numFmtId="203" formatCode="0%"/>
  </x:numFmts>
  <x:fonts count="14">
    <x:font>
      <x:sz val="11"/>
      <x:name val="Carlito"/>
    </x:font>
    <x:font>
      <x:b/>
      <x:sz val="20"/>
      <x:color rgb="FFFFFFFF"/>
      <x:name val="Microsoft YaHei"/>
    </x:font>
    <x:font>
      <x:sz val="11"/>
      <x:color rgb="FFFFFFFF"/>
      <x:name val="Microsoft YaHei"/>
    </x:font>
    <x:font>
      <x:sz val="10"/>
      <x:name val="Microsoft YaHei"/>
    </x:font>
    <x:font>
      <x:b/>
      <x:sz val="10"/>
      <x:color rgb="FF1F3864"/>
      <x:name val="Microsoft YaHei"/>
    </x:font>
    <x:font>
      <x:b/>
      <x:sz val="11"/>
      <x:color rgb="FFFFFFFF"/>
      <x:name val="Microsoft YaHei"/>
    </x:font>
    <x:font>
      <x:b/>
      <x:sz val="10"/>
      <x:color rgb="FFFFFFFF"/>
      <x:name val="Microsoft YaHei"/>
    </x:font>
    <x:font>
      <x:i/>
      <x:sz val="9"/>
      <x:color rgb="FF7F7F7F"/>
      <x:name val="Microsoft YaHei"/>
    </x:font>
    <x:font>
      <x:b/>
      <x:sz val="13"/>
      <x:color rgb="FF1F3864"/>
      <x:name val="Microsoft YaHei"/>
    </x:font>
    <x:font>
      <x:b/>
      <x:sz val="11"/>
      <x:color rgb="FF1F3864"/>
      <x:name val="Microsoft YaHei"/>
    </x:font>
    <x:font>
      <x:sz val="9"/>
      <x:color rgb="FF404040"/>
      <x:name val="Microsoft YaHei"/>
    </x:font>
    <x:font>
      <x:b/>
      <x:sz val="18"/>
      <x:color rgb="FFFFFFFF"/>
      <x:name val="Microsoft YaHei"/>
    </x:font>
    <x:font>
      <x:sz val="9"/>
      <x:color rgb="FF7F7F7F"/>
      <x:name val="Microsoft YaHei"/>
    </x:font>
    <x:font>
      <x:sz val="9"/>
      <x:color rgb="FF2E75B6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75B6"/>
      </x:patternFill>
    </x:fill>
    <x:fill>
      <x:patternFill patternType="solid">
        <x:fgColor rgb="FF4472C4"/>
      </x:patternFill>
    </x:fill>
    <x:fill>
      <x:patternFill patternType="solid">
        <x:fgColor rgb="FFFFF6E5"/>
      </x:patternFill>
    </x:fill>
    <x:fill>
      <x:patternFill patternType="solid">
        <x:fgColor rgb="FFDEEBF7"/>
      </x:patternFill>
    </x:fill>
    <x:fill>
      <x:patternFill patternType="solid">
        <x:fgColor rgb="FFFFF2CC"/>
      </x:patternFill>
    </x:fill>
  </x:fills>
  <x:borders count="25">
    <x:border/>
    <x:border>
      <x:right style="thin">
        <x:color rgb="FFB8C4D9"/>
      </x:right>
    </x:border>
    <x:border>
      <x:left style="thin">
        <x:color rgb="FFB8C4D9"/>
      </x:left>
      <x:right style="thin">
        <x:color rgb="FFB8C4D9"/>
      </x:right>
    </x:border>
    <x:border>
      <x:left style="thin">
        <x:color rgb="FFB8C4D9"/>
      </x:left>
    </x:border>
    <x:border>
      <x:right style="thin">
        <x:color rgb="FFB8C4D9"/>
      </x:right>
      <x:bottom style="medium"/>
    </x:border>
    <x:border>
      <x:left style="thin">
        <x:color rgb="FFB8C4D9"/>
      </x:left>
      <x:right style="thin">
        <x:color rgb="FFB8C4D9"/>
      </x:right>
      <x:bottom style="medium"/>
    </x:border>
    <x:border>
      <x:left style="thin">
        <x:color rgb="FFB8C4D9"/>
      </x:left>
      <x:bottom style="medium"/>
    </x:border>
    <x:border>
      <x:right style="thin">
        <x:color rgb="FFB8C4D9"/>
      </x:right>
      <x:bottom style="medium">
        <x:color rgb="FF1F3864"/>
      </x:bottom>
    </x:border>
    <x:border>
      <x:left style="thin">
        <x:color rgb="FFB8C4D9"/>
      </x:left>
      <x:right style="thin">
        <x:color rgb="FFB8C4D9"/>
      </x:right>
      <x:bottom style="medium">
        <x:color rgb="FF1F3864"/>
      </x:bottom>
    </x:border>
    <x:border>
      <x:left style="thin">
        <x:color rgb="FFB8C4D9"/>
      </x:left>
      <x:bottom style="medium">
        <x:color rgb="FF1F3864"/>
      </x:bottom>
    </x:border>
    <x:border>
      <x:right style="thin">
        <x:color rgb="FFB8C4D9"/>
      </x:right>
      <x:bottom style="thin">
        <x:color rgb="FFB8C4D9"/>
      </x:bottom>
    </x:border>
    <x:border>
      <x:left style="thin">
        <x:color rgb="FFB8C4D9"/>
      </x:left>
      <x:right style="thin">
        <x:color rgb="FFB8C4D9"/>
      </x:right>
      <x:bottom style="thin">
        <x:color rgb="FFB8C4D9"/>
      </x:bottom>
    </x:border>
    <x:border>
      <x:left style="thin">
        <x:color rgb="FFB8C4D9"/>
      </x:left>
      <x:bottom style="thin">
        <x:color rgb="FFB8C4D9"/>
      </x:bottom>
    </x:border>
    <x:border>
      <x:right style="thin">
        <x:color rgb="FFB8C4D9"/>
      </x:right>
      <x:top style="thin">
        <x:color rgb="FFB8C4D9"/>
      </x:top>
      <x:bottom style="thin">
        <x:color rgb="FFB8C4D9"/>
      </x:bottom>
    </x:border>
    <x:border>
      <x:left style="thin">
        <x:color rgb="FFB8C4D9"/>
      </x:left>
      <x:right style="thin">
        <x:color rgb="FFB8C4D9"/>
      </x:right>
      <x:top style="thin">
        <x:color rgb="FFB8C4D9"/>
      </x:top>
      <x:bottom style="thin">
        <x:color rgb="FFB8C4D9"/>
      </x:bottom>
    </x:border>
    <x:border>
      <x:left style="thin">
        <x:color rgb="FFB8C4D9"/>
      </x:left>
      <x:top style="thin">
        <x:color rgb="FFB8C4D9"/>
      </x:top>
      <x:bottom style="thin">
        <x:color rgb="FFB8C4D9"/>
      </x:bottom>
    </x:border>
    <x:border>
      <x:right style="thin">
        <x:color rgb="FFB8C4D9"/>
      </x:right>
      <x:top style="thin">
        <x:color rgb="FFB8C4D9"/>
      </x:top>
    </x:border>
    <x:border>
      <x:left style="thin">
        <x:color rgb="FFB8C4D9"/>
      </x:left>
      <x:right style="thin">
        <x:color rgb="FFB8C4D9"/>
      </x:right>
      <x:top style="thin">
        <x:color rgb="FFB8C4D9"/>
      </x:top>
    </x:border>
    <x:border>
      <x:left style="thin">
        <x:color rgb="FFB8C4D9"/>
      </x:left>
      <x:top style="thin">
        <x:color rgb="FFB8C4D9"/>
      </x:top>
    </x:border>
    <x:border>
      <x:left style="thin">
        <x:color rgb="FF2E75B6"/>
      </x:left>
      <x:top style="thin">
        <x:color rgb="FF2E75B6"/>
      </x:top>
      <x:bottom style="thin">
        <x:color rgb="FF2E75B6"/>
      </x:bottom>
    </x:border>
    <x:border>
      <x:top style="thin">
        <x:color rgb="FF2E75B6"/>
      </x:top>
      <x:bottom style="thin">
        <x:color rgb="FF2E75B6"/>
      </x:bottom>
    </x:border>
    <x:border>
      <x:right style="thin">
        <x:color rgb="FF2E75B6"/>
      </x:right>
      <x:top style="thin">
        <x:color rgb="FF2E75B6"/>
      </x:top>
      <x:bottom style="thin">
        <x:color rgb="FF2E75B6"/>
      </x:bottom>
    </x:border>
    <x:border>
      <x:left style="medium">
        <x:color rgb="FFBF8F00"/>
      </x:left>
      <x:top style="medium">
        <x:color rgb="FFBF8F00"/>
      </x:top>
      <x:bottom style="medium">
        <x:color rgb="FFBF8F00"/>
      </x:bottom>
    </x:border>
    <x:border>
      <x:top style="medium">
        <x:color rgb="FFBF8F00"/>
      </x:top>
      <x:bottom style="medium">
        <x:color rgb="FFBF8F00"/>
      </x:bottom>
    </x:border>
    <x:border>
      <x:right style="medium">
        <x:color rgb="FFBF8F00"/>
      </x:right>
      <x:top style="medium">
        <x:color rgb="FFBF8F00"/>
      </x:top>
      <x:bottom style="medium">
        <x:color rgb="FFBF8F00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2" xfId="0" applyNumberFormat="1" applyFont="1" applyFill="1" applyBorder="1" applyAlignment="1">
      <x:alignment horizontal="center"/>
    </x:xf>
    <x:xf numFmtId="0" fontId="6" fillId="2" borderId="3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6" fillId="2" borderId="2" xfId="0" applyNumberFormat="1" applyFont="1" applyFill="1" applyBorder="1" applyAlignment="1">
      <x:alignment horizontal="center" vertical="center"/>
    </x:xf>
    <x:xf numFmtId="0" fontId="6" fillId="2" borderId="3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0" fontId="6" fillId="2" borderId="5" xfId="0" applyNumberFormat="1" applyFont="1" applyFill="1" applyBorder="1" applyAlignment="1">
      <x:alignment horizontal="center" vertical="center"/>
    </x:xf>
    <x:xf numFmtId="0" fontId="6" fillId="2" borderId="6" xfId="0" applyNumberFormat="1" applyFont="1" applyFill="1" applyBorder="1" applyAlignment="1">
      <x:alignment horizontal="center" vertical="center"/>
    </x:xf>
    <x:xf numFmtId="0" fontId="6" fillId="2" borderId="7" xfId="0" applyNumberFormat="1" applyFont="1" applyFill="1" applyBorder="1" applyAlignment="1">
      <x:alignment horizontal="center" vertical="center"/>
    </x:xf>
    <x:xf numFmtId="0" fontId="6" fillId="2" borderId="8" xfId="0" applyNumberFormat="1" applyFont="1" applyFill="1" applyBorder="1" applyAlignment="1">
      <x:alignment horizontal="center" vertical="center"/>
    </x:xf>
    <x:xf numFmtId="0" fontId="6" fillId="2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0" xfId="0" applyNumberFormat="1" applyFont="1" applyFill="1" applyBorder="1" applyAlignment="1">
      <x:alignment horizontal="center"/>
    </x:xf>
    <x:xf numFmtId="0" fontId="3" fillId="0" borderId="11" xfId="0" applyNumberFormat="1" applyFont="1" applyFill="1" applyBorder="1" applyAlignment="1">
      <x:alignment horizontal="center"/>
    </x:xf>
    <x:xf numFmtId="0" fontId="3" fillId="0" borderId="12" xfId="0" applyNumberFormat="1" applyFont="1" applyFill="1" applyBorder="1" applyAlignment="1">
      <x:alignment horizontal="center"/>
    </x:xf>
    <x:xf numFmtId="0" fontId="3" fillId="0" borderId="13" xfId="0" applyNumberFormat="1" applyFont="1" applyFill="1" applyBorder="1" applyAlignment="1">
      <x:alignment horizontal="center"/>
    </x:xf>
    <x:xf numFmtId="0" fontId="3" fillId="0" borderId="14" xfId="0" applyNumberFormat="1" applyFont="1" applyFill="1" applyBorder="1" applyAlignment="1">
      <x:alignment horizontal="center"/>
    </x:xf>
    <x:xf numFmtId="0" fontId="3" fillId="0" borderId="15" xfId="0" applyNumberFormat="1" applyFont="1" applyFill="1" applyBorder="1" applyAlignment="1">
      <x:alignment horizontal="center"/>
    </x:xf>
    <x:xf numFmtId="0" fontId="3" fillId="0" borderId="16" xfId="0" applyNumberFormat="1" applyFont="1" applyFill="1" applyBorder="1" applyAlignment="1">
      <x:alignment horizontal="center"/>
    </x:xf>
    <x:xf numFmtId="0" fontId="3" fillId="0" borderId="17" xfId="0" applyNumberFormat="1" applyFont="1" applyFill="1" applyBorder="1" applyAlignment="1">
      <x:alignment horizontal="center"/>
    </x:xf>
    <x:xf numFmtId="0" fontId="3" fillId="0" borderId="18" xfId="0" applyNumberFormat="1" applyFont="1" applyFill="1" applyBorder="1" applyAlignment="1">
      <x:alignment horizontal="center"/>
    </x:xf>
    <x:xf numFmtId="0" fontId="3" fillId="0" borderId="10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0" fontId="3" fillId="0" borderId="14" xfId="0" applyNumberFormat="1" applyFont="1" applyFill="1" applyBorder="1" applyAlignment="1">
      <x:alignment horizontal="center" vertical="center"/>
    </x:xf>
    <x:xf numFmtId="0" fontId="3" fillId="0" borderId="15" xfId="0" applyNumberFormat="1" applyFont="1" applyFill="1" applyBorder="1" applyAlignment="1">
      <x:alignment horizontal="center" vertical="center"/>
    </x:xf>
    <x:xf numFmtId="0" fontId="3" fillId="0" borderId="16" xfId="0" applyNumberFormat="1" applyFont="1" applyFill="1" applyBorder="1" applyAlignment="1">
      <x:alignment horizontal="center" vertical="center"/>
    </x:xf>
    <x:xf numFmtId="0" fontId="3" fillId="0" borderId="17" xfId="0" applyNumberFormat="1" applyFont="1" applyFill="1" applyBorder="1" applyAlignment="1">
      <x:alignment horizontal="center" vertical="center"/>
    </x:xf>
    <x:xf numFmtId="0" fontId="3" fillId="0" borderId="18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left" vertical="center"/>
    </x:xf>
    <x:xf numFmtId="0" fontId="3" fillId="0" borderId="14" xfId="0" applyNumberFormat="1" applyFont="1" applyFill="1" applyBorder="1" applyAlignment="1">
      <x:alignment horizontal="left" vertical="center"/>
    </x:xf>
    <x:xf numFmtId="0" fontId="3" fillId="0" borderId="17" xfId="0" applyNumberFormat="1" applyFont="1" applyFill="1" applyBorder="1" applyAlignment="1">
      <x:alignment horizontal="left" vertical="center"/>
    </x:xf>
    <x:xf numFmtId="0" fontId="3" fillId="0" borderId="11" xfId="0" applyNumberFormat="1" applyFont="1" applyFill="1" applyBorder="1" applyAlignment="1">
      <x:alignment horizontal="left" vertical="center" wrapText="1"/>
    </x:xf>
    <x:xf numFmtId="0" fontId="3" fillId="0" borderId="14" xfId="0" applyNumberFormat="1" applyFont="1" applyFill="1" applyBorder="1" applyAlignment="1">
      <x:alignment horizontal="left" vertical="center" wrapText="1"/>
    </x:xf>
    <x:xf numFmtId="0" fontId="3" fillId="0" borderId="17" xfId="0" applyNumberFormat="1" applyFont="1" applyFill="1" applyBorder="1" applyAlignment="1">
      <x:alignment horizontal="left" vertical="center" wrapText="1"/>
    </x:xf>
    <x:xf numFmtId="201" fontId="3" fillId="0" borderId="11" xfId="0" applyNumberFormat="1" applyFont="1" applyFill="1" applyBorder="1" applyAlignment="1">
      <x:alignment horizontal="center" vertical="center"/>
    </x:xf>
    <x:xf numFmtId="201" fontId="3" fillId="0" borderId="12" xfId="0" applyNumberFormat="1" applyFont="1" applyFill="1" applyBorder="1" applyAlignment="1">
      <x:alignment horizontal="center" vertical="center"/>
    </x:xf>
    <x:xf numFmtId="201" fontId="3" fillId="0" borderId="14" xfId="0" applyNumberFormat="1" applyFont="1" applyFill="1" applyBorder="1" applyAlignment="1">
      <x:alignment horizontal="center" vertical="center"/>
    </x:xf>
    <x:xf numFmtId="201" fontId="3" fillId="0" borderId="15" xfId="0" applyNumberFormat="1" applyFont="1" applyFill="1" applyBorder="1" applyAlignment="1">
      <x:alignment horizontal="center" vertical="center"/>
    </x:xf>
    <x:xf numFmtId="201" fontId="3" fillId="0" borderId="17" xfId="0" applyNumberFormat="1" applyFont="1" applyFill="1" applyBorder="1" applyAlignment="1">
      <x:alignment horizontal="center" vertical="center"/>
    </x:xf>
    <x:xf numFmtId="201" fontId="3" fillId="0" borderId="18" xfId="0" applyNumberFormat="1" applyFont="1" applyFill="1" applyBorder="1" applyAlignment="1">
      <x:alignment horizontal="center" vertical="center"/>
    </x:xf>
    <x:xf numFmtId="202" fontId="3" fillId="0" borderId="11" xfId="0" applyNumberFormat="1" applyFont="1" applyFill="1" applyBorder="1" applyAlignment="1">
      <x:alignment horizontal="center" vertical="center"/>
    </x:xf>
    <x:xf numFmtId="202" fontId="3" fillId="0" borderId="14" xfId="0" applyNumberFormat="1" applyFont="1" applyFill="1" applyBorder="1" applyAlignment="1">
      <x:alignment horizontal="center" vertical="center"/>
    </x:xf>
    <x:xf numFmtId="202" fontId="3" fillId="0" borderId="17" xfId="0" applyNumberFormat="1" applyFont="1" applyFill="1" applyBorder="1" applyAlignment="1">
      <x:alignment horizontal="center" vertical="center"/>
    </x:xf>
    <x:xf numFmtId="203" fontId="3" fillId="0" borderId="11" xfId="0" applyNumberFormat="1" applyFont="1" applyFill="1" applyBorder="1" applyAlignment="1">
      <x:alignment horizontal="center" vertical="center"/>
    </x:xf>
    <x:xf numFmtId="203" fontId="3" fillId="0" borderId="14" xfId="0" applyNumberFormat="1" applyFont="1" applyFill="1" applyBorder="1" applyAlignment="1">
      <x:alignment horizontal="center" vertical="center"/>
    </x:xf>
    <x:xf numFmtId="203" fontId="3" fillId="0" borderId="17" xfId="0" applyNumberFormat="1" applyFont="1" applyFill="1" applyBorder="1" applyAlignment="1">
      <x:alignment horizontal="center" vertical="center"/>
    </x:xf>
    <x:xf numFmtId="0" fontId="3" fillId="5" borderId="10" xfId="0" applyNumberFormat="1" applyFont="1" applyFill="1" applyBorder="1" applyAlignment="1">
      <x:alignment horizontal="center" vertical="center"/>
    </x:xf>
    <x:xf numFmtId="0" fontId="3" fillId="5" borderId="11" xfId="0" applyNumberFormat="1" applyFont="1" applyFill="1" applyBorder="1" applyAlignment="1">
      <x:alignment horizontal="center" vertical="center"/>
    </x:xf>
    <x:xf numFmtId="0" fontId="3" fillId="5" borderId="11" xfId="0" applyNumberFormat="1" applyFont="1" applyFill="1" applyBorder="1" applyAlignment="1">
      <x:alignment horizontal="left" vertical="center"/>
    </x:xf>
    <x:xf numFmtId="0" fontId="3" fillId="5" borderId="11" xfId="0" applyNumberFormat="1" applyFont="1" applyFill="1" applyBorder="1" applyAlignment="1">
      <x:alignment horizontal="left" vertical="center" wrapText="1"/>
    </x:xf>
    <x:xf numFmtId="202" fontId="3" fillId="5" borderId="11" xfId="0" applyNumberFormat="1" applyFont="1" applyFill="1" applyBorder="1" applyAlignment="1">
      <x:alignment horizontal="center" vertical="center"/>
    </x:xf>
    <x:xf numFmtId="201" fontId="3" fillId="5" borderId="11" xfId="0" applyNumberFormat="1" applyFont="1" applyFill="1" applyBorder="1" applyAlignment="1">
      <x:alignment horizontal="center" vertical="center"/>
    </x:xf>
    <x:xf numFmtId="203" fontId="3" fillId="5" borderId="11" xfId="0" applyNumberFormat="1" applyFont="1" applyFill="1" applyBorder="1" applyAlignment="1">
      <x:alignment horizontal="center" vertical="center"/>
    </x:xf>
    <x:xf numFmtId="201" fontId="3" fillId="5" borderId="12" xfId="0" applyNumberFormat="1" applyFont="1" applyFill="1" applyBorder="1" applyAlignment="1">
      <x:alignment horizontal="center" vertical="center"/>
    </x:xf>
    <x:xf numFmtId="0" fontId="3" fillId="5" borderId="13" xfId="0" applyNumberFormat="1" applyFont="1" applyFill="1" applyBorder="1" applyAlignment="1">
      <x:alignment horizontal="center" vertical="center"/>
    </x:xf>
    <x:xf numFmtId="0" fontId="3" fillId="5" borderId="14" xfId="0" applyNumberFormat="1" applyFont="1" applyFill="1" applyBorder="1" applyAlignment="1">
      <x:alignment horizontal="center" vertical="center"/>
    </x:xf>
    <x:xf numFmtId="0" fontId="3" fillId="5" borderId="14" xfId="0" applyNumberFormat="1" applyFont="1" applyFill="1" applyBorder="1" applyAlignment="1">
      <x:alignment horizontal="left" vertical="center"/>
    </x:xf>
    <x:xf numFmtId="0" fontId="3" fillId="5" borderId="14" xfId="0" applyNumberFormat="1" applyFont="1" applyFill="1" applyBorder="1" applyAlignment="1">
      <x:alignment horizontal="left" vertical="center" wrapText="1"/>
    </x:xf>
    <x:xf numFmtId="202" fontId="3" fillId="5" borderId="14" xfId="0" applyNumberFormat="1" applyFont="1" applyFill="1" applyBorder="1" applyAlignment="1">
      <x:alignment horizontal="center" vertical="center"/>
    </x:xf>
    <x:xf numFmtId="201" fontId="3" fillId="5" borderId="14" xfId="0" applyNumberFormat="1" applyFont="1" applyFill="1" applyBorder="1" applyAlignment="1">
      <x:alignment horizontal="center" vertical="center"/>
    </x:xf>
    <x:xf numFmtId="203" fontId="3" fillId="5" borderId="14" xfId="0" applyNumberFormat="1" applyFont="1" applyFill="1" applyBorder="1" applyAlignment="1">
      <x:alignment horizontal="center" vertical="center"/>
    </x:xf>
    <x:xf numFmtId="201" fontId="3" fillId="5" borderId="15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6" borderId="0" xfId="0" applyNumberFormat="1" applyFont="1" applyFill="1" applyBorder="1" applyAlignment="1">
      <x:alignment vertical="center"/>
    </x:xf>
    <x:xf numFmtId="201" fontId="3" fillId="6" borderId="19" xfId="0" applyNumberFormat="1" applyFont="1" applyFill="1" applyBorder="1" applyAlignment="1">
      <x:alignment vertical="center"/>
    </x:xf>
    <x:xf numFmtId="201" fontId="3" fillId="6" borderId="20" xfId="0" applyNumberFormat="1" applyFont="1" applyFill="1" applyBorder="1" applyAlignment="1">
      <x:alignment vertical="center"/>
    </x:xf>
    <x:xf numFmtId="201" fontId="3" fillId="6" borderId="21" xfId="0" applyNumberFormat="1" applyFont="1" applyFill="1" applyBorder="1" applyAlignment="1">
      <x:alignment vertical="center"/>
    </x:xf>
    <x:xf numFmtId="201" fontId="3" fillId="7" borderId="0" xfId="0" applyNumberFormat="1" applyFont="1" applyFill="1" applyBorder="1" applyAlignment="1">
      <x:alignment vertical="center"/>
    </x:xf>
    <x:xf numFmtId="201" fontId="8" fillId="7" borderId="0" xfId="0" applyNumberFormat="1" applyFont="1" applyFill="1" applyBorder="1" applyAlignment="1">
      <x:alignment vertical="center"/>
    </x:xf>
    <x:xf numFmtId="201" fontId="8" fillId="7" borderId="22" xfId="0" applyNumberFormat="1" applyFont="1" applyFill="1" applyBorder="1" applyAlignment="1">
      <x:alignment vertical="center"/>
    </x:xf>
    <x:xf numFmtId="201" fontId="8" fillId="7" borderId="23" xfId="0" applyNumberFormat="1" applyFont="1" applyFill="1" applyBorder="1" applyAlignment="1">
      <x:alignment vertical="center"/>
    </x:xf>
    <x:xf numFmtId="201" fontId="8" fillId="7" borderId="24" xfId="0" applyNumberFormat="1" applyFont="1" applyFill="1" applyBorder="1" applyAlignment="1">
      <x:alignment vertical="center"/>
    </x:xf>
    <x:xf numFmtId="201" fontId="9" fillId="6" borderId="0" xfId="0" applyNumberFormat="1" applyFont="1" applyFill="1" applyBorder="1" applyAlignment="1">
      <x:alignment vertical="center"/>
    </x:xf>
    <x:xf numFmtId="201" fontId="9" fillId="6" borderId="19" xfId="0" applyNumberFormat="1" applyFont="1" applyFill="1" applyBorder="1" applyAlignment="1">
      <x:alignment vertical="center"/>
    </x:xf>
    <x:xf numFmtId="201" fontId="9" fillId="6" borderId="20" xfId="0" applyNumberFormat="1" applyFont="1" applyFill="1" applyBorder="1" applyAlignment="1">
      <x:alignment vertical="center"/>
    </x:xf>
    <x:xf numFmtId="201" fontId="9" fillId="6" borderId="21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1" fillId="2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8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horizontal="left" vertical="center" wrapText="1"/>
    </x:xf>
    <x:xf numFmtId="0" fontId="3" fillId="0" borderId="13" xfId="0" applyNumberFormat="1" applyFont="1" applyFill="1" applyBorder="1" applyAlignment="1">
      <x:alignment horizontal="left" vertical="center" wrapText="1"/>
    </x:xf>
    <x:xf numFmtId="0" fontId="3" fillId="0" borderId="16" xfId="0" applyNumberFormat="1" applyFont="1" applyFill="1" applyBorder="1" applyAlignment="1">
      <x:alignment horizontal="left" vertical="center" wrapText="1"/>
    </x:xf>
    <x:xf numFmtId="201" fontId="3" fillId="0" borderId="11" xfId="0" applyNumberFormat="1" applyFont="1" applyFill="1" applyBorder="1" applyAlignment="1">
      <x:alignment vertical="center" wrapText="1"/>
    </x:xf>
    <x:xf numFmtId="201" fontId="3" fillId="0" borderId="14" xfId="0" applyNumberFormat="1" applyFont="1" applyFill="1" applyBorder="1" applyAlignment="1">
      <x:alignment vertical="center" wrapText="1"/>
    </x:xf>
    <x:xf numFmtId="201" fontId="3" fillId="0" borderId="17" xfId="0" applyNumberFormat="1" applyFont="1" applyFill="1" applyBorder="1" applyAlignment="1">
      <x:alignment vertical="center" wrapText="1"/>
    </x:xf>
    <x:xf numFmtId="203" fontId="3" fillId="0" borderId="11" xfId="0" applyNumberFormat="1" applyFont="1" applyFill="1" applyBorder="1" applyAlignment="1">
      <x:alignment vertical="center" wrapText="1"/>
    </x:xf>
    <x:xf numFmtId="203" fontId="3" fillId="0" borderId="14" xfId="0" applyNumberFormat="1" applyFont="1" applyFill="1" applyBorder="1" applyAlignment="1">
      <x:alignment vertical="center" wrapText="1"/>
    </x:xf>
    <x:xf numFmtId="203" fontId="3" fillId="0" borderId="17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center" wrapText="1"/>
    </x:xf>
    <x:xf numFmtId="0" fontId="3" fillId="6" borderId="10" xfId="0" applyNumberFormat="1" applyFont="1" applyFill="1" applyBorder="1" applyAlignment="1">
      <x:alignment vertical="center" wrapText="1"/>
    </x:xf>
    <x:xf numFmtId="0" fontId="3" fillId="6" borderId="11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5eb79c8404b2d" /><Relationship Type="http://schemas.openxmlformats.org/officeDocument/2006/relationships/theme" Target="/xl/theme/theme1.xml" Id="R8904f98dc92b4cc0" /><Relationship Type="http://schemas.openxmlformats.org/officeDocument/2006/relationships/sharedStrings" Target="/xl/sharedStrings.xml" Id="Ra1bc29f3db2a4925" /><Relationship Type="http://schemas.openxmlformats.org/officeDocument/2006/relationships/worksheet" Target="/xl/worksheets/sheet1.xml" Id="R213077c32b6a4496" /><Relationship Type="http://schemas.openxmlformats.org/officeDocument/2006/relationships/worksheet" Target="/xl/worksheets/sheet2.xml" Id="Rb2b5a65b482b4adf" /><Relationship Type="http://schemas.openxmlformats.org/officeDocument/2006/relationships/worksheet" Target="/xl/worksheets/sheet3.xml" Id="R75de1697b94a4ce4" /><Relationship Type="http://schemas.openxmlformats.org/officeDocument/2006/relationships/worksheet" Target="/xl/worksheets/sheet4.xml" Id="R05e8b1617f4944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6" hidden="0" customWidth="1"/>
    <x:col min="4" max="4" width="42" hidden="0" customWidth="1"/>
    <x:col min="5" max="5" width="11" hidden="0" customWidth="1"/>
    <x:col min="6" max="6" width="8" hidden="0" customWidth="1"/>
    <x:col min="7" max="7" width="13" hidden="0" customWidth="1"/>
    <x:col min="8" max="8" width="8" hidden="0" customWidth="1"/>
    <x:col min="9" max="9" width="15" hidden="0" customWidth="1"/>
  </x:cols>
  <x:sheetData>
    <x:row r="1" ht="34" customHeight="1">
      <x:c r="A1" s="4" t="str">
        <x:v>青云智算平台 · 私有化部署订阅报价单</x:v>
      </x:c>
      <x:c r="B1" s="4" t="str">
        <x:v>青云智算平台 · 私有化部署订阅报价单</x:v>
      </x:c>
      <x:c r="C1" s="4" t="str">
        <x:v>青云智算平台 · 私有化部署订阅报价单</x:v>
      </x:c>
      <x:c r="D1" s="4" t="str">
        <x:v>青云智算平台 · 私有化部署订阅报价单</x:v>
      </x:c>
      <x:c r="E1" s="4" t="str">
        <x:v>青云智算平台 · 私有化部署订阅报价单</x:v>
      </x:c>
      <x:c r="F1" s="4" t="str">
        <x:v>青云智算平台 · 私有化部署订阅报价单</x:v>
      </x:c>
      <x:c r="G1" s="4" t="str">
        <x:v>青云智算平台 · 私有化部署订阅报价单</x:v>
      </x:c>
      <x:c r="H1" s="4" t="str">
        <x:v>青云智算平台 · 私有化部署订阅报价单</x:v>
      </x:c>
      <x:c r="I1" s="4" t="str">
        <x:v>青云智算平台 · 私有化部署订阅报价单</x:v>
      </x:c>
    </x:row>
    <x:row r="2" ht="22" customHeight="1">
      <x:c r="A2" s="8" t="str">
        <x:v>青云AI智算平台软件订阅 + 实施服务（私有化部署 · 一年订阅，订阅期内含维保）</x:v>
      </x:c>
      <x:c r="B2" s="8" t="str">
        <x:v>青云AI智算平台软件订阅 + 实施服务（私有化部署 · 一年订阅，订阅期内含维保）</x:v>
      </x:c>
      <x:c r="C2" s="8" t="str">
        <x:v>青云AI智算平台软件订阅 + 实施服务（私有化部署 · 一年订阅，订阅期内含维保）</x:v>
      </x:c>
      <x:c r="D2" s="8" t="str">
        <x:v>青云AI智算平台软件订阅 + 实施服务（私有化部署 · 一年订阅，订阅期内含维保）</x:v>
      </x:c>
      <x:c r="E2" s="8" t="str">
        <x:v>青云AI智算平台软件订阅 + 实施服务（私有化部署 · 一年订阅，订阅期内含维保）</x:v>
      </x:c>
      <x:c r="F2" s="8" t="str">
        <x:v>青云AI智算平台软件订阅 + 实施服务（私有化部署 · 一年订阅，订阅期内含维保）</x:v>
      </x:c>
      <x:c r="G2" s="8" t="str">
        <x:v>青云AI智算平台软件订阅 + 实施服务（私有化部署 · 一年订阅，订阅期内含维保）</x:v>
      </x:c>
      <x:c r="H2" s="8" t="str">
        <x:v>青云AI智算平台软件订阅 + 实施服务（私有化部署 · 一年订阅，订阅期内含维保）</x:v>
      </x:c>
      <x:c r="I2" s="8" t="str">
        <x:v>青云AI智算平台软件订阅 + 实施服务（私有化部署 · 一年订阅，订阅期内含维保）</x:v>
      </x:c>
    </x:row>
    <x:row r="4" ht="22" customHeight="1">
      <x:c r="A4" s="11" t="str">
        <x:v>报价编号</x:v>
      </x:c>
      <x:c r="B4" s="10" t="str">
        <x:v>QZ-SUB-2026-001（示例）</x:v>
      </x:c>
      <x:c r="C4" s="11" t="str">
        <x:v>报价日期</x:v>
      </x:c>
      <x:c r="D4" s="12" t="n">
        <x:v>46255.007924895835</x:v>
      </x:c>
      <x:c r="E4" s="11" t="str">
        <x:v>有效期至</x:v>
      </x:c>
      <x:c r="F4" s="12" t="n">
        <x:v>46285.007924895835</x:v>
      </x:c>
      <x:c r="G4" s="11" t="str">
        <x:v>部署模式</x:v>
      </x:c>
      <x:c r="H4" s="10" t="str">
        <x:v>私有化部署（客户机房）</x:v>
      </x:c>
    </x:row>
    <x:row r="6" ht="20" customHeight="1">
      <x:c r="A6" s="15" t="str">
        <x:v>客户信息</x:v>
      </x:c>
      <x:c r="B6" s="15" t="str">
        <x:v>客户信息</x:v>
      </x:c>
      <x:c r="C6" s="15" t="str">
        <x:v>客户信息</x:v>
      </x:c>
      <x:c r="D6" s="15" t="str">
        <x:v>客户信息</x:v>
      </x:c>
      <x:c r="E6" s="15" t="str">
        <x:v>客户信息</x:v>
      </x:c>
      <x:c r="F6" s="15" t="str">
        <x:v>客户信息</x:v>
      </x:c>
      <x:c r="G6" s="15" t="str">
        <x:v>客户信息</x:v>
      </x:c>
      <x:c r="H6" s="15" t="str">
        <x:v>客户信息</x:v>
      </x:c>
      <x:c r="I6" s="15" t="str">
        <x:v>客户信息</x:v>
      </x:c>
    </x:row>
    <x:row r="7" ht="20" customHeight="1">
      <x:c r="A7" s="18" t="str">
        <x:v>客户名称</x:v>
      </x:c>
      <x:c r="B7" s="17" t="str"/>
      <x:c r="C7" s="17" t="str"/>
      <x:c r="D7" s="17" t="str"/>
      <x:c r="E7" s="18" t="str">
        <x:v>行业</x:v>
      </x:c>
      <x:c r="F7" s="17" t="str"/>
      <x:c r="G7" s="17" t="str"/>
      <x:c r="H7" s="17" t="str"/>
      <x:c r="I7" s="17" t="str"/>
    </x:row>
    <x:row r="8" ht="20" customHeight="1">
      <x:c r="A8" s="18" t="str">
        <x:v>联系人</x:v>
      </x:c>
      <x:c r="B8" s="17" t="str"/>
      <x:c r="C8" s="17" t="str"/>
      <x:c r="D8" s="18" t="str">
        <x:v>电话</x:v>
      </x:c>
      <x:c r="E8" s="17" t="str"/>
      <x:c r="F8" s="17" t="str"/>
      <x:c r="G8" s="18" t="str">
        <x:v>邮箱</x:v>
      </x:c>
      <x:c r="H8" s="17" t="str"/>
      <x:c r="I8" s="17" t="str"/>
    </x:row>
    <x:row r="9" ht="20" customHeight="1">
      <x:c r="A9" s="18" t="str">
        <x:v>客户地址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</x:row>
    <x:row r="10" ht="30" customHeight="1">
      <x:c r="A10" s="18" t="str">
        <x:v>客户场景</x:v>
      </x:c>
      <x:c r="B10" s="17" t="str">
        <x:v>高校 / 科研训练 + 推理（示例：8 卡 GPU 集群，含运营计量）；请按实际场景选配模块</x:v>
      </x:c>
      <x:c r="C10" s="17" t="str"/>
      <x:c r="D10" s="17" t="str"/>
      <x:c r="E10" s="17" t="str"/>
      <x:c r="F10" s="17" t="str"/>
      <x:c r="G10" s="17" t="str"/>
      <x:c r="H10" s="17" t="str"/>
      <x:c r="I10" s="17" t="str"/>
    </x:row>
    <x:row r="11" ht="22" customHeight="1">
      <x:c r="A11" s="32" t="str">
        <x:v>序号</x:v>
      </x:c>
      <x:c r="B11" s="33" t="str">
        <x:v>分类</x:v>
      </x:c>
      <x:c r="C11" s="33" t="str">
        <x:v>模块 / 服务</x:v>
      </x:c>
      <x:c r="D11" s="33" t="str">
        <x:v>说明</x:v>
      </x:c>
      <x:c r="E11" s="33" t="str">
        <x:v>授权单位</x:v>
      </x:c>
      <x:c r="F11" s="33" t="str">
        <x:v>数量</x:v>
      </x:c>
      <x:c r="G11" s="33" t="str">
        <x:v>单价(元)</x:v>
      </x:c>
      <x:c r="H11" s="33" t="str">
        <x:v>税率</x:v>
      </x:c>
      <x:c r="I11" s="34" t="str">
        <x:v>小计(元)</x:v>
      </x:c>
    </x:row>
    <x:row r="12" ht="28" customHeight="1">
      <x:c r="A12" s="80" t="n">
        <x:v>1</x:v>
      </x:c>
      <x:c r="B12" s="81" t="str">
        <x:v>软件订阅</x:v>
      </x:c>
      <x:c r="C12" s="82" t="str">
        <x:v>基础平台</x:v>
      </x:c>
      <x:c r="D12" s="83" t="str">
        <x:v>基于 k8s 的集群管理、节点管理、GPU 监控、日志、镜像仓库、团队管理、资源组（最低 8 卡起，不单独售卖）</x:v>
      </x:c>
      <x:c r="E12" s="81" t="str">
        <x:v>GPU/年</x:v>
      </x:c>
      <x:c r="F12" s="84" t="n">
        <x:v>8</x:v>
      </x:c>
      <x:c r="G12" s="85" t="n">
        <x:v>660</x:v>
      </x:c>
      <x:c r="H12" s="86" t="n">
        <x:v>0.06</x:v>
      </x:c>
      <x:c r="I12" s="87" t="n">
        <x:f>IF(F12="","",ROUND(F12*G12,2))</x:f>
        <x:v>5280</x:v>
      </x:c>
    </x:row>
    <x:row r="13" ht="28" customHeight="1">
      <x:c r="A13" s="88" t="n">
        <x:v>2</x:v>
      </x:c>
      <x:c r="B13" s="89" t="str">
        <x:v>软件订阅</x:v>
      </x:c>
      <x:c r="C13" s="90" t="str">
        <x:v>GPU 计算模块</x:v>
      </x:c>
      <x:c r="D13" s="91" t="str">
        <x:v>容器开发环境：ssh/webssh/jupyter/vscode、规格变更、定时释放、自动挂载存储（必选其一）</x:v>
      </x:c>
      <x:c r="E13" s="89" t="str">
        <x:v>GPU/年</x:v>
      </x:c>
      <x:c r="F13" s="92" t="n">
        <x:v>8</x:v>
      </x:c>
      <x:c r="G13" s="93" t="n">
        <x:v>960</x:v>
      </x:c>
      <x:c r="H13" s="94" t="n">
        <x:v>0.06</x:v>
      </x:c>
      <x:c r="I13" s="95" t="n">
        <x:f>IF(F13="","",ROUND(F13*G13,2))</x:f>
        <x:v>7680</x:v>
      </x:c>
    </x:row>
    <x:row r="14" ht="28" customHeight="1">
      <x:c r="A14" s="88" t="n">
        <x:v>3</x:v>
      </x:c>
      <x:c r="B14" s="89" t="str">
        <x:v>软件订阅</x:v>
      </x:c>
      <x:c r="C14" s="90" t="str">
        <x:v>分布式训练模块</x:v>
      </x:c>
      <x:c r="D14" s="91" t="str">
        <x:v>单机/多机多卡分布式训练、排队调度、故障容错、任务监控</x:v>
      </x:c>
      <x:c r="E14" s="89" t="str">
        <x:v>GPU/年</x:v>
      </x:c>
      <x:c r="F14" s="92" t="n">
        <x:v>8</x:v>
      </x:c>
      <x:c r="G14" s="93" t="n">
        <x:v>1500</x:v>
      </x:c>
      <x:c r="H14" s="94" t="n">
        <x:v>0.06</x:v>
      </x:c>
      <x:c r="I14" s="95" t="n">
        <x:f>IF(F14="","",ROUND(F14*G14,2))</x:f>
        <x:v>12000</x:v>
      </x:c>
    </x:row>
    <x:row r="15" ht="28" customHeight="1">
      <x:c r="A15" s="88" t="n">
        <x:v>4</x:v>
      </x:c>
      <x:c r="B15" s="89" t="str">
        <x:v>软件订阅</x:v>
      </x:c>
      <x:c r="C15" s="90" t="str">
        <x:v>分布式推理模块</x:v>
      </x:c>
      <x:c r="D15" s="91" t="str">
        <x:v>模型广场、自服务部署、弹性扩缩容、模型监控</x:v>
      </x:c>
      <x:c r="E15" s="89" t="str">
        <x:v>GPU/年</x:v>
      </x:c>
      <x:c r="F15" s="92" t="n">
        <x:v>8</x:v>
      </x:c>
      <x:c r="G15" s="93" t="n">
        <x:v>1400</x:v>
      </x:c>
      <x:c r="H15" s="94" t="n">
        <x:v>0.06</x:v>
      </x:c>
      <x:c r="I15" s="95" t="n">
        <x:f>IF(F15="","",ROUND(F15*G15,2))</x:f>
        <x:v>11200</x:v>
      </x:c>
    </x:row>
    <x:row r="16" ht="28" customHeight="1">
      <x:c r="A16" s="88" t="n">
        <x:v>5</x:v>
      </x:c>
      <x:c r="B16" s="89" t="str">
        <x:v>软件订阅</x:v>
      </x:c>
      <x:c r="C16" s="90" t="str">
        <x:v>大模型 MaaS 服务模块</x:v>
      </x:c>
      <x:c r="D16" s="91" t="str">
        <x:v>开放 API、API 秘钥、用量统计与限速（需联合分布式推理模块）</x:v>
      </x:c>
      <x:c r="E16" s="89" t="str">
        <x:v>GPU/年</x:v>
      </x:c>
      <x:c r="F16" s="92" t="n">
        <x:v>8</x:v>
      </x:c>
      <x:c r="G16" s="93" t="n">
        <x:v>600</x:v>
      </x:c>
      <x:c r="H16" s="94" t="n">
        <x:v>0.06</x:v>
      </x:c>
      <x:c r="I16" s="95" t="n">
        <x:f>IF(F16="","",ROUND(F16*G16,2))</x:f>
        <x:v>4800</x:v>
      </x:c>
    </x:row>
    <x:row r="17" ht="28" customHeight="1">
      <x:c r="A17" s="88" t="n">
        <x:v>6</x:v>
      </x:c>
      <x:c r="B17" s="89" t="str">
        <x:v>软件订阅</x:v>
      </x:c>
      <x:c r="C17" s="90" t="str">
        <x:v>并行文件存储服务模块</x:v>
      </x:c>
      <x:c r="D17" s="91" t="str">
        <x:v>对接第三方存储：GPFS/Lustre/海光 parastor/juiceFS 等</x:v>
      </x:c>
      <x:c r="E17" s="89" t="str">
        <x:v>GPU/年</x:v>
      </x:c>
      <x:c r="F17" s="92" t="n">
        <x:v>8</x:v>
      </x:c>
      <x:c r="G17" s="93" t="n">
        <x:v>400</x:v>
      </x:c>
      <x:c r="H17" s="94" t="n">
        <x:v>0.06</x:v>
      </x:c>
      <x:c r="I17" s="95" t="n">
        <x:f>IF(F17="","",ROUND(F17*G17,2))</x:f>
        <x:v>3200</x:v>
      </x:c>
    </x:row>
    <x:row r="18" ht="28" customHeight="1">
      <x:c r="A18" s="88" t="n">
        <x:v>7</x:v>
      </x:c>
      <x:c r="B18" s="89" t="str">
        <x:v>软件订阅</x:v>
      </x:c>
      <x:c r="C18" s="90" t="str">
        <x:v>运营模块-计量</x:v>
      </x:c>
      <x:c r="D18" s="91" t="str">
        <x:v>额度管理、核时/卡时统计、运营报表（算力中心/对外运营场景）</x:v>
      </x:c>
      <x:c r="E18" s="89" t="str">
        <x:v>GPU/年</x:v>
      </x:c>
      <x:c r="F18" s="92" t="n">
        <x:v>8</x:v>
      </x:c>
      <x:c r="G18" s="93" t="n">
        <x:v>1000</x:v>
      </x:c>
      <x:c r="H18" s="94" t="n">
        <x:v>0.06</x:v>
      </x:c>
      <x:c r="I18" s="95" t="n">
        <x:f>IF(F18="","",ROUND(F18*G18,2))</x:f>
        <x:v>8000</x:v>
      </x:c>
    </x:row>
    <x:row r="19" ht="28" customHeight="1">
      <x:c r="A19" s="88" t="n">
        <x:v>8</x:v>
      </x:c>
      <x:c r="B19" s="89" t="str">
        <x:v>服务</x:v>
      </x:c>
      <x:c r="C19" s="90" t="str">
        <x:v>实施服务</x:v>
      </x:c>
      <x:c r="D19" s="91" t="str">
        <x:v>平台部署与交付（示例 10 人天；含高性能网络需增加 1 人天）</x:v>
      </x:c>
      <x:c r="E19" s="89" t="str">
        <x:v>人天</x:v>
      </x:c>
      <x:c r="F19" s="92" t="n">
        <x:v>10</x:v>
      </x:c>
      <x:c r="G19" s="93" t="n">
        <x:v>5500</x:v>
      </x:c>
      <x:c r="H19" s="94" t="n">
        <x:v>0.13</x:v>
      </x:c>
      <x:c r="I19" s="95" t="n">
        <x:f>IF(F19="","",ROUND(F19*G19,2))</x:f>
        <x:v>55000</x:v>
      </x:c>
    </x:row>
    <x:row r="20" ht="28" customHeight="1">
      <x:c r="A20" s="56"/>
      <x:c r="B20" s="57"/>
      <x:c r="C20" s="63"/>
      <x:c r="D20" s="66"/>
      <x:c r="E20" s="57"/>
      <x:c r="F20" s="75"/>
      <x:c r="G20" s="70"/>
      <x:c r="H20" s="78"/>
      <x:c r="I20" s="71" t="str">
        <x:f>IF(F20="","",ROUND(F20*G20,2))</x:f>
      </x:c>
    </x:row>
    <x:row r="21" ht="28" customHeight="1">
      <x:c r="A21" s="56"/>
      <x:c r="B21" s="57"/>
      <x:c r="C21" s="63"/>
      <x:c r="D21" s="66"/>
      <x:c r="E21" s="57"/>
      <x:c r="F21" s="75"/>
      <x:c r="G21" s="70"/>
      <x:c r="H21" s="78"/>
      <x:c r="I21" s="71" t="str">
        <x:f>IF(F21="","",ROUND(F21*G21,2))</x:f>
      </x:c>
    </x:row>
    <x:row r="22" ht="28" customHeight="1">
      <x:c r="A22" s="56"/>
      <x:c r="B22" s="57"/>
      <x:c r="C22" s="63"/>
      <x:c r="D22" s="66"/>
      <x:c r="E22" s="57"/>
      <x:c r="F22" s="75"/>
      <x:c r="G22" s="70"/>
      <x:c r="H22" s="78"/>
      <x:c r="I22" s="71" t="str">
        <x:f>IF(F22="","",ROUND(F22*G22,2))</x:f>
      </x:c>
    </x:row>
    <x:row r="23" ht="28" customHeight="1">
      <x:c r="A23" s="59"/>
      <x:c r="B23" s="60"/>
      <x:c r="C23" s="64"/>
      <x:c r="D23" s="67"/>
      <x:c r="E23" s="60"/>
      <x:c r="F23" s="76"/>
      <x:c r="G23" s="72"/>
      <x:c r="H23" s="79"/>
      <x:c r="I23" s="73" t="str">
        <x:f>IF(F23="","",ROUND(F23*G23,2))</x:f>
      </x:c>
    </x:row>
    <x:row r="24" ht="18" customHeight="1">
      <x:c r="A24" s="98" t="str">
        <x:v>注：第 12-19 行为示例配置（8 卡 GPU 集群：训练 + 推理 + 运营场景），正式报价请按客户实际配置修改数量与模块；空白行可直接填写。</x:v>
      </x:c>
      <x:c r="B24" s="98" t="str">
        <x:v>注：第 12-19 行为示例配置（8 卡 GPU 集群：训练 + 推理 + 运营场景），正式报价请按客户实际配置修改数量与模块；空白行可直接填写。</x:v>
      </x:c>
      <x:c r="C24" s="98" t="str">
        <x:v>注：第 12-19 行为示例配置（8 卡 GPU 集群：训练 + 推理 + 运营场景），正式报价请按客户实际配置修改数量与模块；空白行可直接填写。</x:v>
      </x:c>
      <x:c r="D24" s="98" t="str">
        <x:v>注：第 12-19 行为示例配置（8 卡 GPU 集群：训练 + 推理 + 运营场景），正式报价请按客户实际配置修改数量与模块；空白行可直接填写。</x:v>
      </x:c>
      <x:c r="E24" s="98" t="str">
        <x:v>注：第 12-19 行为示例配置（8 卡 GPU 集群：训练 + 推理 + 运营场景），正式报价请按客户实际配置修改数量与模块；空白行可直接填写。</x:v>
      </x:c>
      <x:c r="F24" s="98" t="str">
        <x:v>注：第 12-19 行为示例配置（8 卡 GPU 集群：训练 + 推理 + 运营场景），正式报价请按客户实际配置修改数量与模块；空白行可直接填写。</x:v>
      </x:c>
      <x:c r="G24" s="98" t="str">
        <x:v>注：第 12-19 行为示例配置（8 卡 GPU 集群：训练 + 推理 + 运营场景），正式报价请按客户实际配置修改数量与模块；空白行可直接填写。</x:v>
      </x:c>
      <x:c r="H24" s="98" t="str">
        <x:v>注：第 12-19 行为示例配置（8 卡 GPU 集群：训练 + 推理 + 运营场景），正式报价请按客户实际配置修改数量与模块；空白行可直接填写。</x:v>
      </x:c>
      <x:c r="I24" s="98" t="str">
        <x:v>注：第 12-19 行为示例配置（8 卡 GPU 集群：训练 + 推理 + 运营场景），正式报价请按客户实际配置修改数量与模块；空白行可直接填写。</x:v>
      </x:c>
    </x:row>
    <x:row r="26" ht="24" customHeight="1">
      <x:c r="A26" s="99" t="str">
        <x:v>软件订阅小计（每年，含税）</x:v>
      </x:c>
      <x:c r="B26" s="10" t="str">
        <x:v>软件订阅小计（每年，含税）</x:v>
      </x:c>
      <x:c r="C26" s="10" t="str">
        <x:v>软件订阅小计（每年，含税）</x:v>
      </x:c>
      <x:c r="D26" s="10" t="str">
        <x:v>软件订阅小计（每年，含税）</x:v>
      </x:c>
      <x:c r="E26" s="10" t="str">
        <x:v>软件订阅小计（每年，含税）</x:v>
      </x:c>
      <x:c r="F26" s="10"/>
      <x:c r="G26" s="102" t="n">
        <x:f>SUMIF(B12:B23,"软件订阅",I12:I23)</x:f>
        <x:v>52160</x:v>
      </x:c>
      <x:c r="H26" s="103"/>
      <x:c r="I26" s="104"/>
    </x:row>
    <x:row r="27" ht="24" customHeight="1">
      <x:c r="A27" s="99" t="str">
        <x:v>实施服务等一次性费用（含税）</x:v>
      </x:c>
      <x:c r="B27" s="10" t="str">
        <x:v>实施服务等一次性费用（含税）</x:v>
      </x:c>
      <x:c r="C27" s="10" t="str">
        <x:v>实施服务等一次性费用（含税）</x:v>
      </x:c>
      <x:c r="D27" s="10" t="str">
        <x:v>实施服务等一次性费用（含税）</x:v>
      </x:c>
      <x:c r="E27" s="10" t="str">
        <x:v>实施服务等一次性费用（含税）</x:v>
      </x:c>
      <x:c r="F27" s="10"/>
      <x:c r="G27" s="102" t="n">
        <x:f>SUMIF(B12:B23,"服务",I12:I23)</x:f>
        <x:v>55000</x:v>
      </x:c>
      <x:c r="H27" s="103"/>
      <x:c r="I27" s="104"/>
    </x:row>
    <x:row r="28" ht="24" customHeight="1">
      <x:c r="A28" s="99" t="str">
        <x:v>首年应付合计（含税）</x:v>
      </x:c>
      <x:c r="B28" s="10" t="str">
        <x:v>首年应付合计（含税）</x:v>
      </x:c>
      <x:c r="C28" s="10" t="str">
        <x:v>首年应付合计（含税）</x:v>
      </x:c>
      <x:c r="D28" s="10" t="str">
        <x:v>首年应付合计（含税）</x:v>
      </x:c>
      <x:c r="E28" s="10" t="str">
        <x:v>首年应付合计（含税）</x:v>
      </x:c>
      <x:c r="F28" s="10"/>
      <x:c r="G28" s="107" t="n">
        <x:f>G26+G27</x:f>
        <x:v>107160</x:v>
      </x:c>
      <x:c r="H28" s="108"/>
      <x:c r="I28" s="109"/>
    </x:row>
    <x:row r="29" ht="24" customHeight="1">
      <x:c r="A29" s="99" t="str">
        <x:v>第 2 年起续订年费（含税，维保免费）</x:v>
      </x:c>
      <x:c r="B29" s="10" t="str">
        <x:v>第 2 年起续订年费（含税，维保免费）</x:v>
      </x:c>
      <x:c r="C29" s="10" t="str">
        <x:v>第 2 年起续订年费（含税，维保免费）</x:v>
      </x:c>
      <x:c r="D29" s="10" t="str">
        <x:v>第 2 年起续订年费（含税，维保免费）</x:v>
      </x:c>
      <x:c r="E29" s="10" t="str">
        <x:v>第 2 年起续订年费（含税，维保免费）</x:v>
      </x:c>
      <x:c r="F29" s="10"/>
      <x:c r="G29" s="111" t="n">
        <x:f>G26</x:f>
        <x:v>52160</x:v>
      </x:c>
      <x:c r="H29" s="112"/>
      <x:c r="I29" s="113"/>
    </x:row>
    <x:row r="31" ht="20" customHeight="1">
      <x:c r="A31" s="15" t="str">
        <x:v>备注与商务条款</x:v>
      </x:c>
      <x:c r="B31" s="15" t="str">
        <x:v>备注与商务条款</x:v>
      </x:c>
      <x:c r="C31" s="15" t="str">
        <x:v>备注与商务条款</x:v>
      </x:c>
      <x:c r="D31" s="15" t="str">
        <x:v>备注与商务条款</x:v>
      </x:c>
      <x:c r="E31" s="15" t="str">
        <x:v>备注与商务条款</x:v>
      </x:c>
      <x:c r="F31" s="15" t="str">
        <x:v>备注与商务条款</x:v>
      </x:c>
      <x:c r="G31" s="15" t="str">
        <x:v>备注与商务条款</x:v>
      </x:c>
      <x:c r="H31" s="15" t="str">
        <x:v>备注与商务条款</x:v>
      </x:c>
      <x:c r="I31" s="15" t="str">
        <x:v>备注与商务条款</x:v>
      </x:c>
    </x:row>
    <x:row r="32" ht="18" customHeight="1">
      <x:c r="A32" s="116" t="str">
        <x:v>订阅模式：价格为年度总价，无折扣；订阅期内维保服务免费；订阅到期未续订则软件不可用（需配合销毁）。</x:v>
      </x:c>
      <x:c r="B32" s="116" t="str">
        <x:v>订阅模式：价格为年度总价，无折扣；订阅期内维保服务免费；订阅到期未续订则软件不可用（需配合销毁）。</x:v>
      </x:c>
      <x:c r="C32" s="116" t="str">
        <x:v>订阅模式：价格为年度总价，无折扣；订阅期内维保服务免费；订阅到期未续订则软件不可用（需配合销毁）。</x:v>
      </x:c>
      <x:c r="D32" s="116" t="str">
        <x:v>订阅模式：价格为年度总价，无折扣；订阅期内维保服务免费；订阅到期未续订则软件不可用（需配合销毁）。</x:v>
      </x:c>
      <x:c r="E32" s="116" t="str">
        <x:v>订阅模式：价格为年度总价，无折扣；订阅期内维保服务免费；订阅到期未续订则软件不可用（需配合销毁）。</x:v>
      </x:c>
      <x:c r="F32" s="116" t="str">
        <x:v>订阅模式：价格为年度总价，无折扣；订阅期内维保服务免费；订阅到期未续订则软件不可用（需配合销毁）。</x:v>
      </x:c>
      <x:c r="G32" s="116" t="str">
        <x:v>订阅模式：价格为年度总价，无折扣；订阅期内维保服务免费；订阅到期未续订则软件不可用（需配合销毁）。</x:v>
      </x:c>
      <x:c r="H32" s="116" t="str">
        <x:v>订阅模式：价格为年度总价，无折扣；订阅期内维保服务免费；订阅到期未续订则软件不可用（需配合销毁）。</x:v>
      </x:c>
      <x:c r="I32" s="116" t="str">
        <x:v>订阅模式：价格为年度总价，无折扣；订阅期内维保服务免费；订阅到期未续订则软件不可用（需配合销毁）。</x:v>
      </x:c>
    </x:row>
    <x:row r="33" ht="18" customHeight="1">
      <x:c r="A33" s="116" t="str">
        <x:v>发票：增值税专用发票；软件订阅税率 6%，实施/增值服务税率 13%。</x:v>
      </x:c>
      <x:c r="B33" s="116" t="str">
        <x:v>发票：增值税专用发票；软件订阅税率 6%，实施/增值服务税率 13%。</x:v>
      </x:c>
      <x:c r="C33" s="116" t="str">
        <x:v>发票：增值税专用发票；软件订阅税率 6%，实施/增值服务税率 13%。</x:v>
      </x:c>
      <x:c r="D33" s="116" t="str">
        <x:v>发票：增值税专用发票；软件订阅税率 6%，实施/增值服务税率 13%。</x:v>
      </x:c>
      <x:c r="E33" s="116" t="str">
        <x:v>发票：增值税专用发票；软件订阅税率 6%，实施/增值服务税率 13%。</x:v>
      </x:c>
      <x:c r="F33" s="116" t="str">
        <x:v>发票：增值税专用发票；软件订阅税率 6%，实施/增值服务税率 13%。</x:v>
      </x:c>
      <x:c r="G33" s="116" t="str">
        <x:v>发票：增值税专用发票；软件订阅税率 6%，实施/增值服务税率 13%。</x:v>
      </x:c>
      <x:c r="H33" s="116" t="str">
        <x:v>发票：增值税专用发票；软件订阅税率 6%，实施/增值服务税率 13%。</x:v>
      </x:c>
      <x:c r="I33" s="116" t="str">
        <x:v>发票：增值税专用发票；软件订阅税率 6%，实施/增值服务税率 13%。</x:v>
      </x:c>
    </x:row>
    <x:row r="34" ht="18" customHeight="1">
      <x:c r="A34" s="116" t="str">
        <x:v>付款方式（示例）：可年度预付；也可按月预付（每月 20 日前支付当月费用）；实施服务合同签订后 3 日内一次性支付。</x:v>
      </x:c>
      <x:c r="B34" s="116" t="str">
        <x:v>付款方式（示例）：可年度预付；也可按月预付（每月 20 日前支付当月费用）；实施服务合同签订后 3 日内一次性支付。</x:v>
      </x:c>
      <x:c r="C34" s="116" t="str">
        <x:v>付款方式（示例）：可年度预付；也可按月预付（每月 20 日前支付当月费用）；实施服务合同签订后 3 日内一次性支付。</x:v>
      </x:c>
      <x:c r="D34" s="116" t="str">
        <x:v>付款方式（示例）：可年度预付；也可按月预付（每月 20 日前支付当月费用）；实施服务合同签订后 3 日内一次性支付。</x:v>
      </x:c>
      <x:c r="E34" s="116" t="str">
        <x:v>付款方式（示例）：可年度预付；也可按月预付（每月 20 日前支付当月费用）；实施服务合同签订后 3 日内一次性支付。</x:v>
      </x:c>
      <x:c r="F34" s="116" t="str">
        <x:v>付款方式（示例）：可年度预付；也可按月预付（每月 20 日前支付当月费用）；实施服务合同签订后 3 日内一次性支付。</x:v>
      </x:c>
      <x:c r="G34" s="116" t="str">
        <x:v>付款方式（示例）：可年度预付；也可按月预付（每月 20 日前支付当月费用）；实施服务合同签订后 3 日内一次性支付。</x:v>
      </x:c>
      <x:c r="H34" s="116" t="str">
        <x:v>付款方式（示例）：可年度预付；也可按月预付（每月 20 日前支付当月费用）；实施服务合同签订后 3 日内一次性支付。</x:v>
      </x:c>
      <x:c r="I34" s="116" t="str">
        <x:v>付款方式（示例）：可年度预付；也可按月预付（每月 20 日前支付当月费用）；实施服务合同签订后 3 日内一次性支付。</x:v>
      </x:c>
    </x:row>
    <x:row r="35" ht="18" customHeight="1">
      <x:c r="A35" s="116" t="str">
        <x:v>实施服务必选，按人天计（参考价 5,500 元/人天）；含高性能网络需增加 1 人天。</x:v>
      </x:c>
      <x:c r="B35" s="116" t="str">
        <x:v>实施服务必选，按人天计（参考价 5,500 元/人天）；含高性能网络需增加 1 人天。</x:v>
      </x:c>
      <x:c r="C35" s="116" t="str">
        <x:v>实施服务必选，按人天计（参考价 5,500 元/人天）；含高性能网络需增加 1 人天。</x:v>
      </x:c>
      <x:c r="D35" s="116" t="str">
        <x:v>实施服务必选，按人天计（参考价 5,500 元/人天）；含高性能网络需增加 1 人天。</x:v>
      </x:c>
      <x:c r="E35" s="116" t="str">
        <x:v>实施服务必选，按人天计（参考价 5,500 元/人天）；含高性能网络需增加 1 人天。</x:v>
      </x:c>
      <x:c r="F35" s="116" t="str">
        <x:v>实施服务必选，按人天计（参考价 5,500 元/人天）；含高性能网络需增加 1 人天。</x:v>
      </x:c>
      <x:c r="G35" s="116" t="str">
        <x:v>实施服务必选，按人天计（参考价 5,500 元/人天）；含高性能网络需增加 1 人天。</x:v>
      </x:c>
      <x:c r="H35" s="116" t="str">
        <x:v>实施服务必选，按人天计（参考价 5,500 元/人天）；含高性能网络需增加 1 人天。</x:v>
      </x:c>
      <x:c r="I35" s="116" t="str">
        <x:v>实施服务必选，按人天计（参考价 5,500 元/人天）；含高性能网络需增加 1 人天。</x:v>
      </x:c>
    </x:row>
    <x:row r="36" ht="18" customHeight="1">
      <x:c r="A36" s="116" t="str">
        <x:v>起订要求：GPU 授权最低 8 卡；基础平台不单独售卖，须叠加业务模块。</x:v>
      </x:c>
      <x:c r="B36" s="116" t="str">
        <x:v>起订要求：GPU 授权最低 8 卡；基础平台不单独售卖，须叠加业务模块。</x:v>
      </x:c>
      <x:c r="C36" s="116" t="str">
        <x:v>起订要求：GPU 授权最低 8 卡；基础平台不单独售卖，须叠加业务模块。</x:v>
      </x:c>
      <x:c r="D36" s="116" t="str">
        <x:v>起订要求：GPU 授权最低 8 卡；基础平台不单独售卖，须叠加业务模块。</x:v>
      </x:c>
      <x:c r="E36" s="116" t="str">
        <x:v>起订要求：GPU 授权最低 8 卡；基础平台不单独售卖，须叠加业务模块。</x:v>
      </x:c>
      <x:c r="F36" s="116" t="str">
        <x:v>起订要求：GPU 授权最低 8 卡；基础平台不单独售卖，须叠加业务模块。</x:v>
      </x:c>
      <x:c r="G36" s="116" t="str">
        <x:v>起订要求：GPU 授权最低 8 卡；基础平台不单独售卖，须叠加业务模块。</x:v>
      </x:c>
      <x:c r="H36" s="116" t="str">
        <x:v>起订要求：GPU 授权最低 8 卡；基础平台不单独售卖，须叠加业务模块。</x:v>
      </x:c>
      <x:c r="I36" s="116" t="str">
        <x:v>起订要求：GPU 授权最低 8 卡；基础平台不单独售卖，须叠加业务模块。</x:v>
      </x:c>
    </x:row>
    <x:row r="37" ht="18" customHeight="1">
      <x:c r="A37" s="116" t="str">
        <x:v>维保/售后：7×24 工单支持，服务时间 8:00-23:00，1 小时内响应。</x:v>
      </x:c>
      <x:c r="B37" s="116" t="str">
        <x:v>维保/售后：7×24 工单支持，服务时间 8:00-23:00，1 小时内响应。</x:v>
      </x:c>
      <x:c r="C37" s="116" t="str">
        <x:v>维保/售后：7×24 工单支持，服务时间 8:00-23:00，1 小时内响应。</x:v>
      </x:c>
      <x:c r="D37" s="116" t="str">
        <x:v>维保/售后：7×24 工单支持，服务时间 8:00-23:00，1 小时内响应。</x:v>
      </x:c>
      <x:c r="E37" s="116" t="str">
        <x:v>维保/售后：7×24 工单支持，服务时间 8:00-23:00，1 小时内响应。</x:v>
      </x:c>
      <x:c r="F37" s="116" t="str">
        <x:v>维保/售后：7×24 工单支持，服务时间 8:00-23:00，1 小时内响应。</x:v>
      </x:c>
      <x:c r="G37" s="116" t="str">
        <x:v>维保/售后：7×24 工单支持，服务时间 8:00-23:00，1 小时内响应。</x:v>
      </x:c>
      <x:c r="H37" s="116" t="str">
        <x:v>维保/售后：7×24 工单支持，服务时间 8:00-23:00，1 小时内响应。</x:v>
      </x:c>
      <x:c r="I37" s="116" t="str">
        <x:v>维保/售后：7×24 工单支持，服务时间 8:00-23:00，1 小时内响应。</x:v>
      </x:c>
    </x:row>
    <x:row r="38" ht="18" customHeight="1">
      <x:c r="A38" s="116" t="str">
        <x:v>本报价单为模板示例，价格参考 Confluence《青云AI智算平台产品报价-优化》（2026-08），正式报价前请与销售/运营确认。</x:v>
      </x:c>
      <x:c r="B38" s="116" t="str">
        <x:v>本报价单为模板示例，价格参考 Confluence《青云AI智算平台产品报价-优化》（2026-08），正式报价前请与销售/运营确认。</x:v>
      </x:c>
      <x:c r="C38" s="116" t="str">
        <x:v>本报价单为模板示例，价格参考 Confluence《青云AI智算平台产品报价-优化》（2026-08），正式报价前请与销售/运营确认。</x:v>
      </x:c>
      <x:c r="D38" s="116" t="str">
        <x:v>本报价单为模板示例，价格参考 Confluence《青云AI智算平台产品报价-优化》（2026-08），正式报价前请与销售/运营确认。</x:v>
      </x:c>
      <x:c r="E38" s="116" t="str">
        <x:v>本报价单为模板示例，价格参考 Confluence《青云AI智算平台产品报价-优化》（2026-08），正式报价前请与销售/运营确认。</x:v>
      </x:c>
      <x:c r="F38" s="116" t="str">
        <x:v>本报价单为模板示例，价格参考 Confluence《青云AI智算平台产品报价-优化》（2026-08），正式报价前请与销售/运营确认。</x:v>
      </x:c>
      <x:c r="G38" s="116" t="str">
        <x:v>本报价单为模板示例，价格参考 Confluence《青云AI智算平台产品报价-优化》（2026-08），正式报价前请与销售/运营确认。</x:v>
      </x:c>
      <x:c r="H38" s="116" t="str">
        <x:v>本报价单为模板示例，价格参考 Confluence《青云AI智算平台产品报价-优化》（2026-08），正式报价前请与销售/运营确认。</x:v>
      </x:c>
      <x:c r="I38" s="116" t="str">
        <x:v>本报价单为模板示例，价格参考 Confluence《青云AI智算平台产品报价-优化》（2026-08），正式报价前请与销售/运营确认。</x:v>
      </x:c>
    </x:row>
  </x:sheetData>
  <x:mergeCells>
    <x:mergeCell ref="A1:I1"/>
    <x:mergeCell ref="A2:I2"/>
    <x:mergeCell ref="A6:I6"/>
    <x:mergeCell ref="B7:D7"/>
    <x:mergeCell ref="F7:I7"/>
    <x:mergeCell ref="B8:C8"/>
    <x:mergeCell ref="E8:F8"/>
    <x:mergeCell ref="H8:I8"/>
    <x:mergeCell ref="B9:I9"/>
    <x:mergeCell ref="B10:I10"/>
    <x:mergeCell ref="A24:I24"/>
    <x:mergeCell ref="A26:E26"/>
    <x:mergeCell ref="G26:I26"/>
    <x:mergeCell ref="A27:E27"/>
    <x:mergeCell ref="G27:I27"/>
    <x:mergeCell ref="A28:E28"/>
    <x:mergeCell ref="G28:I28"/>
    <x:mergeCell ref="A29:E29"/>
    <x:mergeCell ref="G29:I29"/>
    <x:mergeCell ref="A31:I31"/>
    <x:mergeCell ref="A32:I32"/>
    <x:mergeCell ref="A33:I33"/>
    <x:mergeCell ref="A34:I34"/>
    <x:mergeCell ref="A35:I35"/>
    <x:mergeCell ref="A36:I36"/>
    <x:mergeCell ref="A37:I37"/>
    <x:mergeCell ref="A38:I38"/>
  </x:mergeCells>
  <x:dataValidations count="3">
    <x:dataValidation type="list" allowBlank="1" showDropDown="0" sqref="B12:B23">
      <x:formula1>"软件订阅,服务,增值服务,其他"</x:formula1>
    </x:dataValidation>
    <x:dataValidation type="list" allowBlank="1" showDropDown="0" sqref="E12:E23">
      <x:formula1>"GPU/年,CPU/年,人天,次,套"</x:formula1>
    </x:dataValidation>
    <x:dataValidation type="whole" sqref="F12:F23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10" hidden="0" customWidth="1"/>
    <x:col min="4" max="4" width="13" hidden="0" customWidth="1"/>
    <x:col min="5" max="5" width="13" hidden="0" customWidth="1"/>
    <x:col min="6" max="6" width="14" hidden="0" customWidth="1"/>
  </x:cols>
  <x:sheetData>
    <x:row r="1" ht="30" customHeight="1">
      <x:c r="A1" s="119" t="str">
        <x:v>青云智算平台 · 私有化部署 · 订阅价格参考</x:v>
      </x:c>
      <x:c r="B1" s="119" t="str">
        <x:v>青云智算平台 · 私有化部署 · 订阅价格参考</x:v>
      </x:c>
      <x:c r="C1" s="119" t="str">
        <x:v>青云智算平台 · 私有化部署 · 订阅价格参考</x:v>
      </x:c>
      <x:c r="D1" s="119" t="str">
        <x:v>青云智算平台 · 私有化部署 · 订阅价格参考</x:v>
      </x:c>
      <x:c r="E1" s="119" t="str">
        <x:v>青云智算平台 · 私有化部署 · 订阅价格参考</x:v>
      </x:c>
      <x:c r="F1" s="119" t="str">
        <x:v>青云智算平台 · 私有化部署 · 订阅价格参考</x:v>
      </x:c>
    </x:row>
    <x:row r="2" ht="24" customHeight="1">
      <x:c r="A2" s="122" t="str">
        <x:v>数据来源：Confluence《青云AI智算平台产品报价-优化》/《智算软件订阅合同模板》（2026-08 抓取，仅供报价参考）</x:v>
      </x:c>
      <x:c r="B2" s="122" t="str">
        <x:v>数据来源：Confluence《青云AI智算平台产品报价-优化》/《智算软件订阅合同模板》（2026-08 抓取，仅供报价参考）</x:v>
      </x:c>
      <x:c r="C2" s="122" t="str">
        <x:v>数据来源：Confluence《青云AI智算平台产品报价-优化》/《智算软件订阅合同模板》（2026-08 抓取，仅供报价参考）</x:v>
      </x:c>
      <x:c r="D2" s="122" t="str">
        <x:v>数据来源：Confluence《青云AI智算平台产品报价-优化》/《智算软件订阅合同模板》（2026-08 抓取，仅供报价参考）</x:v>
      </x:c>
      <x:c r="E2" s="122" t="str">
        <x:v>数据来源：Confluence《青云AI智算平台产品报价-优化》/《智算软件订阅合同模板》（2026-08 抓取，仅供报价参考）</x:v>
      </x:c>
      <x:c r="F2" s="122" t="str">
        <x:v>数据来源：Confluence《青云AI智算平台产品报价-优化》/《智算软件订阅合同模板》（2026-08 抓取，仅供报价参考）</x:v>
      </x:c>
    </x:row>
    <x:row r="4" ht="20" customHeight="1">
      <x:c r="A4" s="15" t="str">
        <x:v>一、软件模块订阅价格（按年订阅，税率 6%，订阅期内维保免费）</x:v>
      </x:c>
      <x:c r="B4" s="15" t="str">
        <x:v>一、软件模块订阅价格（按年订阅，税率 6%，订阅期内维保免费）</x:v>
      </x:c>
      <x:c r="C4" s="15" t="str">
        <x:v>一、软件模块订阅价格（按年订阅，税率 6%，订阅期内维保免费）</x:v>
      </x:c>
      <x:c r="D4" s="15" t="str">
        <x:v>一、软件模块订阅价格（按年订阅，税率 6%，订阅期内维保免费）</x:v>
      </x:c>
      <x:c r="E4" s="15" t="str">
        <x:v>一、软件模块订阅价格（按年订阅，税率 6%，订阅期内维保免费）</x:v>
      </x:c>
      <x:c r="F4" s="15" t="str">
        <x:v>一、软件模块订阅价格（按年订阅，税率 6%，订阅期内维保免费）</x:v>
      </x:c>
    </x:row>
    <x:row r="5" ht="20" customHeight="1">
      <x:c r="A5" s="126" t="str">
        <x:v>模块</x:v>
      </x:c>
      <x:c r="B5" s="126" t="str">
        <x:v>说明（简）</x:v>
      </x:c>
      <x:c r="C5" s="126" t="str">
        <x:v>授权单位</x:v>
      </x:c>
      <x:c r="D5" s="126" t="str">
        <x:v>单价(元)</x:v>
      </x:c>
      <x:c r="E5" s="126" t="str">
        <x:v>税率</x:v>
      </x:c>
      <x:c r="F5" s="126" t="str">
        <x:v>备注</x:v>
      </x:c>
    </x:row>
    <x:row r="6" ht="30" customHeight="1">
      <x:c r="A6" s="145" t="str">
        <x:v>基础平台</x:v>
      </x:c>
      <x:c r="B6" s="137" t="str">
        <x:v>k8s 集群管理、节点管理、GPU 监控、日志、镜像仓库、团队管理、资源组</x:v>
      </x:c>
      <x:c r="C6" s="137" t="str">
        <x:v>GPU/年</x:v>
      </x:c>
      <x:c r="D6" s="148" t="n">
        <x:v>660</x:v>
      </x:c>
      <x:c r="E6" s="151" t="n">
        <x:v>0.06</x:v>
      </x:c>
      <x:c r="F6" s="138" t="str">
        <x:v>必须；不单独售卖；最低 8 卡</x:v>
      </x:c>
    </x:row>
    <x:row r="7" ht="30" customHeight="1">
      <x:c r="A7" s="146" t="str">
        <x:v>GPU 计算模块</x:v>
      </x:c>
      <x:c r="B7" s="140" t="str">
        <x:v>容器开发环境：ssh/webssh/jupyter/vscode、规格变更、定时释放、存储挂载</x:v>
      </x:c>
      <x:c r="C7" s="140" t="str">
        <x:v>GPU/年</x:v>
      </x:c>
      <x:c r="D7" s="149" t="n">
        <x:v>960</x:v>
      </x:c>
      <x:c r="E7" s="152" t="n">
        <x:v>0.06</x:v>
      </x:c>
      <x:c r="F7" s="141" t="str">
        <x:v>必选至少一个；最低 8 卡</x:v>
      </x:c>
    </x:row>
    <x:row r="8" ht="30" customHeight="1">
      <x:c r="A8" s="146" t="str">
        <x:v>分布式训练模块</x:v>
      </x:c>
      <x:c r="B8" s="140" t="str">
        <x:v>单机/多机多卡训练、队列与优先级调度、故障容错、任务监控</x:v>
      </x:c>
      <x:c r="C8" s="140" t="str">
        <x:v>GPU/年</x:v>
      </x:c>
      <x:c r="D8" s="149" t="n">
        <x:v>1500</x:v>
      </x:c>
      <x:c r="E8" s="152" t="n">
        <x:v>0.06</x:v>
      </x:c>
      <x:c r="F8" s="141" t="str">
        <x:v>最低 8 卡</x:v>
      </x:c>
    </x:row>
    <x:row r="9" ht="30" customHeight="1">
      <x:c r="A9" s="146" t="str">
        <x:v>分布式推理模块</x:v>
      </x:c>
      <x:c r="B9" s="140" t="str">
        <x:v>模型广场、自服务部署、弹性扩缩容、模型监控</x:v>
      </x:c>
      <x:c r="C9" s="140" t="str">
        <x:v>GPU/年</x:v>
      </x:c>
      <x:c r="D9" s="149" t="n">
        <x:v>1400</x:v>
      </x:c>
      <x:c r="E9" s="152" t="n">
        <x:v>0.06</x:v>
      </x:c>
      <x:c r="F9" s="141" t="str">
        <x:v>最低 8 卡</x:v>
      </x:c>
    </x:row>
    <x:row r="10" ht="30" customHeight="1">
      <x:c r="A10" s="146" t="str">
        <x:v>大模型 MaaS 服务模块</x:v>
      </x:c>
      <x:c r="B10" s="140" t="str">
        <x:v>开放 API、API 秘钥、用量统计、限速</x:v>
      </x:c>
      <x:c r="C10" s="140" t="str">
        <x:v>GPU/年</x:v>
      </x:c>
      <x:c r="D10" s="149" t="n">
        <x:v>600</x:v>
      </x:c>
      <x:c r="E10" s="152" t="n">
        <x:v>0.06</x:v>
      </x:c>
      <x:c r="F10" s="141" t="str">
        <x:v>需联合分布式推理模块</x:v>
      </x:c>
    </x:row>
    <x:row r="11" ht="30" customHeight="1">
      <x:c r="A11" s="146" t="str">
        <x:v>运营模块-计量</x:v>
      </x:c>
      <x:c r="B11" s="140" t="str">
        <x:v>额度/余额管理、核时卡时统计、运营报表</x:v>
      </x:c>
      <x:c r="C11" s="140" t="str">
        <x:v>GPU/年</x:v>
      </x:c>
      <x:c r="D11" s="149" t="n">
        <x:v>1000</x:v>
      </x:c>
      <x:c r="E11" s="152" t="n">
        <x:v>0.06</x:v>
      </x:c>
      <x:c r="F11" s="141" t="str">
        <x:v>最低 8 卡</x:v>
      </x:c>
    </x:row>
    <x:row r="12" ht="30" customHeight="1">
      <x:c r="A12" s="146" t="str">
        <x:v>运营模块-财务</x:v>
      </x:c>
      <x:c r="B12" s="140" t="str">
        <x:v>充值、钱包管理（支付宝）</x:v>
      </x:c>
      <x:c r="C12" s="140" t="str">
        <x:v>GPU/年</x:v>
      </x:c>
      <x:c r="D12" s="149" t="n">
        <x:v>900</x:v>
      </x:c>
      <x:c r="E12" s="152" t="n">
        <x:v>0.06</x:v>
      </x:c>
      <x:c r="F12" s="141" t="str">
        <x:v>最低 8 卡</x:v>
      </x:c>
    </x:row>
    <x:row r="13" ht="30" customHeight="1">
      <x:c r="A13" s="146" t="str">
        <x:v>GPU 池化模块</x:v>
      </x:c>
      <x:c r="B13" s="140" t="str">
        <x:v>vGPU 显存切分（1G/2G 任意组合），开发实例与小模型推理</x:v>
      </x:c>
      <x:c r="C13" s="140" t="str">
        <x:v>GPU/年</x:v>
      </x:c>
      <x:c r="D13" s="149" t="n">
        <x:v>500</x:v>
      </x:c>
      <x:c r="E13" s="152" t="n">
        <x:v>0.06</x:v>
      </x:c>
      <x:c r="F13" s="141" t="str">
        <x:v>最低 8 卡</x:v>
      </x:c>
    </x:row>
    <x:row r="14" ht="30" customHeight="1">
      <x:c r="A14" s="146" t="str">
        <x:v>CPU 计算模块</x:v>
      </x:c>
      <x:c r="B14" s="140" t="str">
        <x:v>纳管无卡 CPU 计算节点</x:v>
      </x:c>
      <x:c r="C14" s="140" t="str">
        <x:v>CPU/年</x:v>
      </x:c>
      <x:c r="D14" s="149" t="n">
        <x:v>2600</x:v>
      </x:c>
      <x:c r="E14" s="152" t="n">
        <x:v>0.06</x:v>
      </x:c>
      <x:c r="F14" s="141" t="str">
        <x:v>按 CPU 数量</x:v>
      </x:c>
    </x:row>
    <x:row r="15" ht="30" customHeight="1">
      <x:c r="A15" s="146" t="str">
        <x:v>并行文件存储服务模块</x:v>
      </x:c>
      <x:c r="B15" s="140" t="str">
        <x:v>对接 GPFS/Lustre/海光 parastor/juiceFS/浪潮文件存储等</x:v>
      </x:c>
      <x:c r="C15" s="140" t="str">
        <x:v>GPU/年</x:v>
      </x:c>
      <x:c r="D15" s="149" t="n">
        <x:v>400</x:v>
      </x:c>
      <x:c r="E15" s="152" t="n">
        <x:v>0.06</x:v>
      </x:c>
      <x:c r="F15" s="141" t="str">
        <x:v>未对接存储需另购对接服务</x:v>
      </x:c>
    </x:row>
    <x:row r="16" ht="30" customHeight="1">
      <x:c r="A16" s="146" t="str">
        <x:v>HPC 超级计算-基础模块</x:v>
      </x:c>
      <x:c r="B16" s="140" t="str">
        <x:v>Slurm 集群管理、作业调度；含基础平台+运营计量/财务+并行存储</x:v>
      </x:c>
      <x:c r="C16" s="140" t="str">
        <x:v>CPU/年</x:v>
      </x:c>
      <x:c r="D16" s="149" t="n">
        <x:v>660</x:v>
      </x:c>
      <x:c r="E16" s="152" t="n">
        <x:v>0.06</x:v>
      </x:c>
      <x:c r="F16" s="141" t="str">
        <x:v>按 CPU 数量</x:v>
      </x:c>
    </x:row>
    <x:row r="17" ht="30" customHeight="1">
      <x:c r="A17" s="146" t="str">
        <x:v>HPC 超级计算-CPU 节点</x:v>
      </x:c>
      <x:c r="B17" s="140" t="str">
        <x:v>CPU 队列、CPU 作业提交</x:v>
      </x:c>
      <x:c r="C17" s="140" t="str">
        <x:v>CPU/年</x:v>
      </x:c>
      <x:c r="D17" s="149" t="n">
        <x:v>8000</x:v>
      </x:c>
      <x:c r="E17" s="152" t="n">
        <x:v>0.06</x:v>
      </x:c>
      <x:c r="F17" s="141" t="str">
        <x:v>按 CPU 数量</x:v>
      </x:c>
    </x:row>
    <x:row r="18" ht="30" customHeight="1">
      <x:c r="A18" s="147" t="str">
        <x:v>HPC 超级计算-GPU 节点</x:v>
      </x:c>
      <x:c r="B18" s="143" t="str">
        <x:v>GPU 作业提交（HPC+AI 超智融合）</x:v>
      </x:c>
      <x:c r="C18" s="143" t="str">
        <x:v>GPU/年</x:v>
      </x:c>
      <x:c r="D18" s="150" t="n">
        <x:v>3300</x:v>
      </x:c>
      <x:c r="E18" s="153" t="n">
        <x:v>0.06</x:v>
      </x:c>
      <x:c r="F18" s="144" t="str">
        <x:v>最低 8 卡</x:v>
      </x:c>
    </x:row>
    <x:row r="19" ht="18" customHeight="1">
      <x:c r="A19" s="154" t="str">
        <x:v>订阅规则：年度总价、无折扣；订阅期内维保免费；到期未续订软件不可用。</x:v>
      </x:c>
      <x:c r="B19" s="154" t="str">
        <x:v>订阅规则：年度总价、无折扣；订阅期内维保免费；到期未续订软件不可用。</x:v>
      </x:c>
      <x:c r="C19" s="154" t="str">
        <x:v>订阅规则：年度总价、无折扣；订阅期内维保免费；到期未续订软件不可用。</x:v>
      </x:c>
      <x:c r="D19" s="154" t="str">
        <x:v>订阅规则：年度总价、无折扣；订阅期内维保免费；到期未续订软件不可用。</x:v>
      </x:c>
      <x:c r="E19" s="154" t="str">
        <x:v>订阅规则：年度总价、无折扣；订阅期内维保免费；到期未续订软件不可用。</x:v>
      </x:c>
      <x:c r="F19" s="154" t="str">
        <x:v>订阅规则：年度总价、无折扣；订阅期内维保免费；到期未续订软件不可用。</x:v>
      </x:c>
    </x:row>
    <x:row r="21" ht="20" customHeight="1">
      <x:c r="A21" s="15" t="str">
        <x:v>二、服务与增值（一次性/按年，税率 13%）</x:v>
      </x:c>
      <x:c r="B21" s="15" t="str">
        <x:v>二、服务与增值（一次性/按年，税率 13%）</x:v>
      </x:c>
      <x:c r="C21" s="15" t="str">
        <x:v>二、服务与增值（一次性/按年，税率 13%）</x:v>
      </x:c>
      <x:c r="D21" s="15" t="str">
        <x:v>二、服务与增值（一次性/按年，税率 13%）</x:v>
      </x:c>
      <x:c r="E21" s="15" t="str">
        <x:v>二、服务与增值（一次性/按年，税率 13%）</x:v>
      </x:c>
      <x:c r="F21" s="15" t="str">
        <x:v>二、服务与增值（一次性/按年，税率 13%）</x:v>
      </x:c>
    </x:row>
    <x:row r="22" ht="20" customHeight="1">
      <x:c r="A22" s="126" t="str">
        <x:v>服务</x:v>
      </x:c>
      <x:c r="B22" s="126" t="str">
        <x:v>说明</x:v>
      </x:c>
      <x:c r="C22" s="126" t="str">
        <x:v>单位</x:v>
      </x:c>
      <x:c r="D22" s="126" t="str">
        <x:v>单价(元)</x:v>
      </x:c>
      <x:c r="E22" s="126" t="str">
        <x:v>税率</x:v>
      </x:c>
      <x:c r="F22" s="126" t="str">
        <x:v>备注</x:v>
      </x:c>
    </x:row>
    <x:row r="23" ht="30" customHeight="1">
      <x:c r="A23" s="136" t="str">
        <x:v>实施服务</x:v>
      </x:c>
      <x:c r="B23" s="137" t="str">
        <x:v>平台部署与交付（必选）；含高性能网络需增加 1 人天</x:v>
      </x:c>
      <x:c r="C23" s="137" t="str">
        <x:v>人天</x:v>
      </x:c>
      <x:c r="D23" s="148" t="n">
        <x:v>5500</x:v>
      </x:c>
      <x:c r="E23" s="151" t="n">
        <x:v>0.13</x:v>
      </x:c>
      <x:c r="F23" s="138" t="str">
        <x:v>示例 10 人天</x:v>
      </x:c>
    </x:row>
    <x:row r="24" ht="30" customHeight="1">
      <x:c r="A24" s="139" t="str">
        <x:v>增值-第三方存储对接</x:v>
      </x:c>
      <x:c r="B24" s="140" t="str">
        <x:v>未对接文件系统的用户管理、配额、目录、自动挂载</x:v>
      </x:c>
      <x:c r="C24" s="140" t="str">
        <x:v>次</x:v>
      </x:c>
      <x:c r="D24" s="149" t="n">
        <x:v>7500</x:v>
      </x:c>
      <x:c r="E24" s="152" t="n">
        <x:v>0.13</x:v>
      </x:c>
      <x:c r="F24" s="141" t="str">
        <x:v>约 10 人天研发</x:v>
      </x:c>
    </x:row>
    <x:row r="25" ht="30" customHeight="1">
      <x:c r="A25" s="139" t="str">
        <x:v>增值-国产 GPU 服务化</x:v>
      </x:c>
      <x:c r="B25" s="140" t="str">
        <x:v>新卡测试、模型适配、性能测试、多节点调试</x:v>
      </x:c>
      <x:c r="C25" s="140" t="str">
        <x:v>次</x:v>
      </x:c>
      <x:c r="D25" s="149" t="n">
        <x:v>7500</x:v>
      </x:c>
      <x:c r="E25" s="152" t="n">
        <x:v>0.13</x:v>
      </x:c>
      <x:c r="F25" s="141" t="str">
        <x:v>每次 5 人天</x:v>
      </x:c>
    </x:row>
    <x:row r="26" ht="30" customHeight="1">
      <x:c r="A26" s="142" t="str">
        <x:v>维保服务</x:v>
      </x:c>
      <x:c r="B26" s="143" t="str">
        <x:v>软件列表价的 10%/年（非折扣价）</x:v>
      </x:c>
      <x:c r="C26" s="143" t="str">
        <x:v>每年</x:v>
      </x:c>
      <x:c r="D26" s="150"/>
      <x:c r="E26" s="153" t="n">
        <x:v>0.13</x:v>
      </x:c>
      <x:c r="F26" s="144" t="str">
        <x:v>license 模式第 2 年起；订阅期内免费</x:v>
      </x:c>
    </x:row>
    <x:row r="28" ht="20" customHeight="1">
      <x:c r="A28" s="15" t="str">
        <x:v>三、场景选型参考（模块组合）</x:v>
      </x:c>
      <x:c r="B28" s="15" t="str">
        <x:v>三、场景选型参考（模块组合）</x:v>
      </x:c>
      <x:c r="C28" s="15" t="str">
        <x:v>三、场景选型参考（模块组合）</x:v>
      </x:c>
      <x:c r="D28" s="15" t="str">
        <x:v>三、场景选型参考（模块组合）</x:v>
      </x:c>
      <x:c r="E28" s="15" t="str">
        <x:v>三、场景选型参考（模块组合）</x:v>
      </x:c>
      <x:c r="F28" s="15" t="str">
        <x:v>三、场景选型参考（模块组合）</x:v>
      </x:c>
    </x:row>
    <x:row r="29" ht="26" customHeight="1">
      <x:c r="A29" s="136" t="str">
        <x:v>企业内部部署 DeepSeek（内部 agent/小助手/知识库）</x:v>
      </x:c>
      <x:c r="B29" s="137" t="str">
        <x:v>基础平台 + GPU计算 + 分布式推理 + 大模型MaaS（+存储）</x:v>
      </x:c>
      <x:c r="C29" s="137"/>
      <x:c r="D29" s="137"/>
      <x:c r="E29" s="137"/>
      <x:c r="F29" s="138"/>
    </x:row>
    <x:row r="30" ht="26" customHeight="1">
      <x:c r="A30" s="139" t="str">
        <x:v>科技公司算法研发（训练专有模型，A/H 类卡）</x:v>
      </x:c>
      <x:c r="B30" s="140" t="str">
        <x:v>基础平台 + GPU计算 + 分布式训练 + 存储（+分布式推理）</x:v>
      </x:c>
      <x:c r="C30" s="140"/>
      <x:c r="D30" s="140"/>
      <x:c r="E30" s="140"/>
      <x:c r="F30" s="141"/>
    </x:row>
    <x:row r="31" ht="26" customHeight="1">
      <x:c r="A31" s="139" t="str">
        <x:v>高校（算法学习/课题研究，4090/A100）</x:v>
      </x:c>
      <x:c r="B31" s="140" t="str">
        <x:v>基础平台 + GPU计算 + 共享GPU（池化）+ 存储</x:v>
      </x:c>
      <x:c r="C31" s="140"/>
      <x:c r="D31" s="140"/>
      <x:c r="E31" s="140"/>
      <x:c r="F31" s="141"/>
    </x:row>
    <x:row r="32" ht="26" customHeight="1">
      <x:c r="A32" s="139" t="str">
        <x:v>高校 HPC（材料/物理计算）</x:v>
      </x:c>
      <x:c r="B32" s="140" t="str">
        <x:v>基础平台 + GPU计算 + HPC基础 + HPC节点 + 存储</x:v>
      </x:c>
      <x:c r="C32" s="140"/>
      <x:c r="D32" s="140"/>
      <x:c r="E32" s="140"/>
      <x:c r="F32" s="141"/>
    </x:row>
    <x:row r="33" ht="26" customHeight="1">
      <x:c r="A33" s="139" t="str">
        <x:v>算力中心（建设平台卖资源）</x:v>
      </x:c>
      <x:c r="B33" s="140" t="str">
        <x:v>全套产品 + 运营模块（计量/财务）</x:v>
      </x:c>
      <x:c r="C33" s="140"/>
      <x:c r="D33" s="140"/>
      <x:c r="E33" s="140"/>
      <x:c r="F33" s="141"/>
    </x:row>
    <x:row r="34" ht="26" customHeight="1">
      <x:c r="A34" s="142" t="str">
        <x:v>药物研发（蛋白质分析/分子动力学）</x:v>
      </x:c>
      <x:c r="B34" s="143" t="str">
        <x:v>基础平台 + GPU计算 + HPC + 并行存储</x:v>
      </x:c>
      <x:c r="C34" s="143"/>
      <x:c r="D34" s="143"/>
      <x:c r="E34" s="143"/>
      <x:c r="F34" s="144"/>
    </x:row>
    <x:row r="36" ht="16" customHeight="1">
      <x:c r="A36" s="157" t="str">
        <x:v>来源：https://cwiki.yunify.com/pages/viewpage.action?pageId=216789829（青云AI智算平台产品报价-优化）</x:v>
      </x:c>
      <x:c r="B36" s="157" t="str">
        <x:v>来源：https://cwiki.yunify.com/pages/viewpage.action?pageId=216789829（青云AI智算平台产品报价-优化）</x:v>
      </x:c>
      <x:c r="C36" s="157" t="str">
        <x:v>来源：https://cwiki.yunify.com/pages/viewpage.action?pageId=216789829（青云AI智算平台产品报价-优化）</x:v>
      </x:c>
      <x:c r="D36" s="157" t="str">
        <x:v>来源：https://cwiki.yunify.com/pages/viewpage.action?pageId=216789829（青云AI智算平台产品报价-优化）</x:v>
      </x:c>
      <x:c r="E36" s="157" t="str">
        <x:v>来源：https://cwiki.yunify.com/pages/viewpage.action?pageId=216789829（青云AI智算平台产品报价-优化）</x:v>
      </x:c>
      <x:c r="F36" s="157" t="str">
        <x:v>来源：https://cwiki.yunify.com/pages/viewpage.action?pageId=216789829（青云AI智算平台产品报价-优化）</x:v>
      </x:c>
    </x:row>
  </x:sheetData>
  <x:mergeCells>
    <x:mergeCell ref="A1:F1"/>
    <x:mergeCell ref="A2:F2"/>
    <x:mergeCell ref="A4:F4"/>
    <x:mergeCell ref="A19:F19"/>
    <x:mergeCell ref="A21:F21"/>
    <x:mergeCell ref="A28:F28"/>
    <x:mergeCell ref="A29:B29"/>
    <x:mergeCell ref="C29:F29"/>
    <x:mergeCell ref="A30:B30"/>
    <x:mergeCell ref="C30:F30"/>
    <x:mergeCell ref="A31:B31"/>
    <x:mergeCell ref="C31:F31"/>
    <x:mergeCell ref="A32:B32"/>
    <x:mergeCell ref="C32:F32"/>
    <x:mergeCell ref="A33:B33"/>
    <x:mergeCell ref="C33:F33"/>
    <x:mergeCell ref="A34:B34"/>
    <x:mergeCell ref="C34:F34"/>
    <x:mergeCell ref="A36:F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6" hidden="0" customWidth="1"/>
    <x:col min="3" max="3" width="10" hidden="0" customWidth="1"/>
    <x:col min="4" max="4" width="13" hidden="0" customWidth="1"/>
    <x:col min="5" max="5" width="13" hidden="0" customWidth="1"/>
    <x:col min="6" max="6" width="14" hidden="0" customWidth="1"/>
  </x:cols>
  <x:sheetData>
    <x:row r="1" ht="30" customHeight="1">
      <x:c r="A1" s="119" t="str">
        <x:v>青云智算平台 · 私有化部署 · 买断（License）价格参考</x:v>
      </x:c>
      <x:c r="B1" s="119" t="str">
        <x:v>青云智算平台 · 私有化部署 · 买断（License）价格参考</x:v>
      </x:c>
      <x:c r="C1" s="119" t="str">
        <x:v>青云智算平台 · 私有化部署 · 买断（License）价格参考</x:v>
      </x:c>
      <x:c r="D1" s="119" t="str">
        <x:v>青云智算平台 · 私有化部署 · 买断（License）价格参考</x:v>
      </x:c>
      <x:c r="E1" s="119" t="str">
        <x:v>青云智算平台 · 私有化部署 · 买断（License）价格参考</x:v>
      </x:c>
      <x:c r="F1" s="119" t="str">
        <x:v>青云智算平台 · 私有化部署 · 买断（License）价格参考</x:v>
      </x:c>
    </x:row>
    <x:row r="2" ht="24" customHeight="1">
      <x:c r="A2" s="122" t="str">
        <x:v>数据来源：Confluence《青云AI智算平台产品报价-优化》（2026-08 抓取，仅供报价参考）</x:v>
      </x:c>
      <x:c r="B2" s="122" t="str">
        <x:v>数据来源：Confluence《青云AI智算平台产品报价-优化》（2026-08 抓取，仅供报价参考）</x:v>
      </x:c>
      <x:c r="C2" s="122" t="str">
        <x:v>数据来源：Confluence《青云AI智算平台产品报价-优化》（2026-08 抓取，仅供报价参考）</x:v>
      </x:c>
      <x:c r="D2" s="122" t="str">
        <x:v>数据来源：Confluence《青云AI智算平台产品报价-优化》（2026-08 抓取，仅供报价参考）</x:v>
      </x:c>
      <x:c r="E2" s="122" t="str">
        <x:v>数据来源：Confluence《青云AI智算平台产品报价-优化》（2026-08 抓取，仅供报价参考）</x:v>
      </x:c>
      <x:c r="F2" s="122" t="str">
        <x:v>数据来源：Confluence《青云AI智算平台产品报价-优化》（2026-08 抓取，仅供报价参考）</x:v>
      </x:c>
    </x:row>
    <x:row r="4" ht="20" customHeight="1">
      <x:c r="A4" s="15" t="str">
        <x:v>一、软件模块买断价格（一次性 License，税率 13%）</x:v>
      </x:c>
      <x:c r="B4" s="15" t="str">
        <x:v>一、软件模块买断价格（一次性 License，税率 13%）</x:v>
      </x:c>
      <x:c r="C4" s="15" t="str">
        <x:v>一、软件模块买断价格（一次性 License，税率 13%）</x:v>
      </x:c>
      <x:c r="D4" s="15" t="str">
        <x:v>一、软件模块买断价格（一次性 License，税率 13%）</x:v>
      </x:c>
      <x:c r="E4" s="15" t="str">
        <x:v>一、软件模块买断价格（一次性 License，税率 13%）</x:v>
      </x:c>
      <x:c r="F4" s="15" t="str">
        <x:v>一、软件模块买断价格（一次性 License，税率 13%）</x:v>
      </x:c>
    </x:row>
    <x:row r="5" ht="20" customHeight="1">
      <x:c r="A5" s="126" t="str">
        <x:v>模块</x:v>
      </x:c>
      <x:c r="B5" s="126" t="str">
        <x:v>说明（简）</x:v>
      </x:c>
      <x:c r="C5" s="126" t="str">
        <x:v>授权单位</x:v>
      </x:c>
      <x:c r="D5" s="126" t="str">
        <x:v>单价(元)</x:v>
      </x:c>
      <x:c r="E5" s="126" t="str">
        <x:v>税率</x:v>
      </x:c>
      <x:c r="F5" s="126" t="str">
        <x:v>备注</x:v>
      </x:c>
    </x:row>
    <x:row r="6" ht="30" customHeight="1">
      <x:c r="A6" s="145" t="str">
        <x:v>基础平台</x:v>
      </x:c>
      <x:c r="B6" s="137" t="str">
        <x:v>k8s 集群管理、节点管理、GPU 监控、日志、镜像仓库、团队管理、资源组</x:v>
      </x:c>
      <x:c r="C6" s="137" t="str">
        <x:v>每GPU</x:v>
      </x:c>
      <x:c r="D6" s="148" t="n">
        <x:v>2000</x:v>
      </x:c>
      <x:c r="E6" s="151" t="n">
        <x:v>0.13</x:v>
      </x:c>
      <x:c r="F6" s="138" t="str">
        <x:v>必须；不单独售卖；最低 8 卡</x:v>
      </x:c>
    </x:row>
    <x:row r="7" ht="30" customHeight="1">
      <x:c r="A7" s="146" t="str">
        <x:v>GPU 计算模块</x:v>
      </x:c>
      <x:c r="B7" s="140" t="str">
        <x:v>容器开发环境：ssh/webssh/jupyter/vscode 等</x:v>
      </x:c>
      <x:c r="C7" s="140" t="str">
        <x:v>每GPU</x:v>
      </x:c>
      <x:c r="D7" s="149" t="n">
        <x:v>2880</x:v>
      </x:c>
      <x:c r="E7" s="152" t="n">
        <x:v>0.13</x:v>
      </x:c>
      <x:c r="F7" s="141" t="str">
        <x:v>必选至少一个；最低 8 卡</x:v>
      </x:c>
    </x:row>
    <x:row r="8" ht="30" customHeight="1">
      <x:c r="A8" s="146" t="str">
        <x:v>分布式训练模块</x:v>
      </x:c>
      <x:c r="B8" s="140" t="str">
        <x:v>单机/多机多卡训练、调度、容错</x:v>
      </x:c>
      <x:c r="C8" s="140" t="str">
        <x:v>每GPU</x:v>
      </x:c>
      <x:c r="D8" s="149" t="n">
        <x:v>4200</x:v>
      </x:c>
      <x:c r="E8" s="152" t="n">
        <x:v>0.13</x:v>
      </x:c>
      <x:c r="F8" s="141" t="str">
        <x:v>最低 8 卡</x:v>
      </x:c>
    </x:row>
    <x:row r="9" ht="30" customHeight="1">
      <x:c r="A9" s="146" t="str">
        <x:v>分布式推理模块</x:v>
      </x:c>
      <x:c r="B9" s="140" t="str">
        <x:v>模型广场、推理部署、弹性扩缩容</x:v>
      </x:c>
      <x:c r="C9" s="140" t="str">
        <x:v>每GPU</x:v>
      </x:c>
      <x:c r="D9" s="149" t="n">
        <x:v>4200</x:v>
      </x:c>
      <x:c r="E9" s="152" t="n">
        <x:v>0.13</x:v>
      </x:c>
      <x:c r="F9" s="141" t="str">
        <x:v>最低 8 卡</x:v>
      </x:c>
    </x:row>
    <x:row r="10" ht="30" customHeight="1">
      <x:c r="A10" s="146" t="str">
        <x:v>大模型 MaaS 服务模块</x:v>
      </x:c>
      <x:c r="B10" s="140" t="str">
        <x:v>开放 API、API 秘钥、用量统计</x:v>
      </x:c>
      <x:c r="C10" s="140" t="str">
        <x:v>每GPU</x:v>
      </x:c>
      <x:c r="D10" s="149" t="n">
        <x:v>1800</x:v>
      </x:c>
      <x:c r="E10" s="152" t="n">
        <x:v>0.13</x:v>
      </x:c>
      <x:c r="F10" s="141" t="str">
        <x:v>需联合分布式推理模块</x:v>
      </x:c>
    </x:row>
    <x:row r="11" ht="30" customHeight="1">
      <x:c r="A11" s="146" t="str">
        <x:v>运营模块-计量</x:v>
      </x:c>
      <x:c r="B11" s="140" t="str">
        <x:v>额度/余额管理、核时卡时统计</x:v>
      </x:c>
      <x:c r="C11" s="140" t="str">
        <x:v>每GPU</x:v>
      </x:c>
      <x:c r="D11" s="149" t="n">
        <x:v>3000</x:v>
      </x:c>
      <x:c r="E11" s="152" t="n">
        <x:v>0.13</x:v>
      </x:c>
      <x:c r="F11" s="141" t="str">
        <x:v>最低 8 卡</x:v>
      </x:c>
    </x:row>
    <x:row r="12" ht="30" customHeight="1">
      <x:c r="A12" s="146" t="str">
        <x:v>运营模块-财务</x:v>
      </x:c>
      <x:c r="B12" s="140" t="str">
        <x:v>充值、钱包管理（支付宝）</x:v>
      </x:c>
      <x:c r="C12" s="140" t="str">
        <x:v>每GPU</x:v>
      </x:c>
      <x:c r="D12" s="149" t="n">
        <x:v>2877</x:v>
      </x:c>
      <x:c r="E12" s="152" t="n">
        <x:v>0.13</x:v>
      </x:c>
      <x:c r="F12" s="141" t="str">
        <x:v>最低 8 卡</x:v>
      </x:c>
    </x:row>
    <x:row r="13" ht="30" customHeight="1">
      <x:c r="A13" s="146" t="str">
        <x:v>GPU 池化模块</x:v>
      </x:c>
      <x:c r="B13" s="140" t="str">
        <x:v>vGPU 显存切分</x:v>
      </x:c>
      <x:c r="C13" s="140" t="str">
        <x:v>每GPU</x:v>
      </x:c>
      <x:c r="D13" s="149" t="n">
        <x:v>1500</x:v>
      </x:c>
      <x:c r="E13" s="152" t="n">
        <x:v>0.13</x:v>
      </x:c>
      <x:c r="F13" s="141" t="str">
        <x:v>最低 8 卡</x:v>
      </x:c>
    </x:row>
    <x:row r="14" ht="30" customHeight="1">
      <x:c r="A14" s="146" t="str">
        <x:v>CPU 计算模块</x:v>
      </x:c>
      <x:c r="B14" s="140" t="str">
        <x:v>纳管无卡 CPU 计算节点</x:v>
      </x:c>
      <x:c r="C14" s="140" t="str">
        <x:v>每CPU</x:v>
      </x:c>
      <x:c r="D14" s="149" t="n">
        <x:v>8000</x:v>
      </x:c>
      <x:c r="E14" s="152" t="n">
        <x:v>0.13</x:v>
      </x:c>
      <x:c r="F14" s="141" t="str">
        <x:v>按 CPU 数量</x:v>
      </x:c>
    </x:row>
    <x:row r="15" ht="30" customHeight="1">
      <x:c r="A15" s="146" t="str">
        <x:v>并行文件存储服务模块</x:v>
      </x:c>
      <x:c r="B15" s="140" t="str">
        <x:v>对接 GPFS/Lustre 等第三方存储</x:v>
      </x:c>
      <x:c r="C15" s="140" t="str">
        <x:v>每GPU</x:v>
      </x:c>
      <x:c r="D15" s="149" t="n">
        <x:v>1200</x:v>
      </x:c>
      <x:c r="E15" s="152" t="n">
        <x:v>0.13</x:v>
      </x:c>
      <x:c r="F15" s="141" t="str">
        <x:v>未对接存储需另购对接服务</x:v>
      </x:c>
    </x:row>
    <x:row r="16" ht="30" customHeight="1">
      <x:c r="A16" s="146" t="str">
        <x:v>HPC 超级计算-基础模块</x:v>
      </x:c>
      <x:c r="B16" s="140" t="str">
        <x:v>Slurm 集群管理、作业调度；含基础平台+运营+并行存储</x:v>
      </x:c>
      <x:c r="C16" s="140" t="str">
        <x:v>每CPU</x:v>
      </x:c>
      <x:c r="D16" s="149" t="n">
        <x:v>2000</x:v>
      </x:c>
      <x:c r="E16" s="152" t="n">
        <x:v>0.13</x:v>
      </x:c>
      <x:c r="F16" s="141" t="str">
        <x:v>按 CPU 数量</x:v>
      </x:c>
    </x:row>
    <x:row r="17" ht="30" customHeight="1">
      <x:c r="A17" s="146" t="str">
        <x:v>HPC 超级计算-CPU 节点</x:v>
      </x:c>
      <x:c r="B17" s="140" t="str">
        <x:v>CPU 队列、CPU 作业提交</x:v>
      </x:c>
      <x:c r="C17" s="140" t="str">
        <x:v>每CPU</x:v>
      </x:c>
      <x:c r="D17" s="149" t="n">
        <x:v>24000</x:v>
      </x:c>
      <x:c r="E17" s="152" t="n">
        <x:v>0.13</x:v>
      </x:c>
      <x:c r="F17" s="141" t="str">
        <x:v>按 CPU 数量</x:v>
      </x:c>
    </x:row>
    <x:row r="18" ht="30" customHeight="1">
      <x:c r="A18" s="147" t="str">
        <x:v>HPC 超级计算-GPU 节点</x:v>
      </x:c>
      <x:c r="B18" s="143" t="str">
        <x:v>GPU 作业提交（超智融合）</x:v>
      </x:c>
      <x:c r="C18" s="143" t="str">
        <x:v>每GPU</x:v>
      </x:c>
      <x:c r="D18" s="150" t="n">
        <x:v>10000</x:v>
      </x:c>
      <x:c r="E18" s="153" t="n">
        <x:v>0.13</x:v>
      </x:c>
      <x:c r="F18" s="144" t="str">
        <x:v>最低 8 卡</x:v>
      </x:c>
    </x:row>
    <x:row r="19" ht="30" customHeight="1">
      <x:c r="A19" s="98" t="str">
        <x:v>买断规则：默认送 1 年维保；第 2 年起维保 = 软件列表价 10%/年；到期不续保软件仍可用，但无升级与工单服务；税率 13%。</x:v>
      </x:c>
      <x:c r="B19" s="98" t="str">
        <x:v>买断规则：默认送 1 年维保；第 2 年起维保 = 软件列表价 10%/年；到期不续保软件仍可用，但无升级与工单服务；税率 13%。</x:v>
      </x:c>
      <x:c r="C19" s="98" t="str">
        <x:v>买断规则：默认送 1 年维保；第 2 年起维保 = 软件列表价 10%/年；到期不续保软件仍可用，但无升级与工单服务；税率 13%。</x:v>
      </x:c>
      <x:c r="D19" s="98" t="str">
        <x:v>买断规则：默认送 1 年维保；第 2 年起维保 = 软件列表价 10%/年；到期不续保软件仍可用，但无升级与工单服务；税率 13%。</x:v>
      </x:c>
      <x:c r="E19" s="98" t="str">
        <x:v>买断规则：默认送 1 年维保；第 2 年起维保 = 软件列表价 10%/年；到期不续保软件仍可用，但无升级与工单服务；税率 13%。</x:v>
      </x:c>
      <x:c r="F19" s="98" t="str">
        <x:v>买断规则：默认送 1 年维保；第 2 年起维保 = 软件列表价 10%/年；到期不续保软件仍可用，但无升级与工单服务；税率 13%。</x:v>
      </x:c>
    </x:row>
    <x:row r="21" ht="20" customHeight="1">
      <x:c r="A21" s="15" t="str">
        <x:v>二、订阅 vs 买断 对比</x:v>
      </x:c>
      <x:c r="B21" s="15" t="str">
        <x:v>二、订阅 vs 买断 对比</x:v>
      </x:c>
      <x:c r="C21" s="15" t="str">
        <x:v>二、订阅 vs 买断 对比</x:v>
      </x:c>
      <x:c r="D21" s="15" t="str">
        <x:v>二、订阅 vs 买断 对比</x:v>
      </x:c>
      <x:c r="E21" s="15" t="str">
        <x:v>二、订阅 vs 买断 对比</x:v>
      </x:c>
      <x:c r="F21" s="15" t="str">
        <x:v>二、订阅 vs 买断 对比</x:v>
      </x:c>
    </x:row>
    <x:row r="22" ht="24" customHeight="1">
      <x:c r="A22" s="161" t="str">
        <x:v>对比项</x:v>
      </x:c>
      <x:c r="B22" s="162" t="str">
        <x:v>订阅模式（推荐）</x:v>
      </x:c>
      <x:c r="C22" s="162" t="str">
        <x:v>买断模式</x:v>
      </x:c>
      <x:c r="D22" s="162"/>
      <x:c r="E22" s="162"/>
      <x:c r="F22" s="163"/>
    </x:row>
    <x:row r="23" ht="24" customHeight="1">
      <x:c r="A23" s="139" t="str">
        <x:v>付费</x:v>
      </x:c>
      <x:c r="B23" s="140" t="str">
        <x:v>按年订阅（年度总价）</x:v>
      </x:c>
      <x:c r="C23" s="140" t="str">
        <x:v>一次性 License + 维保</x:v>
      </x:c>
      <x:c r="D23" s="140"/>
      <x:c r="E23" s="140"/>
      <x:c r="F23" s="141"/>
    </x:row>
    <x:row r="24" ht="24" customHeight="1">
      <x:c r="A24" s="139" t="str">
        <x:v>维保</x:v>
      </x:c>
      <x:c r="B24" s="140" t="str">
        <x:v>订阅期内免费</x:v>
      </x:c>
      <x:c r="C24" s="140" t="str">
        <x:v>第 1 年免费，第 2 年起列表价 10%/年</x:v>
      </x:c>
      <x:c r="D24" s="140"/>
      <x:c r="E24" s="140"/>
      <x:c r="F24" s="141"/>
    </x:row>
    <x:row r="25" ht="24" customHeight="1">
      <x:c r="A25" s="139" t="str">
        <x:v>升级/工单</x:v>
      </x:c>
      <x:c r="B25" s="140" t="str">
        <x:v>订阅期内包含</x:v>
      </x:c>
      <x:c r="C25" s="140" t="str">
        <x:v>维保期内包含，到期后无</x:v>
      </x:c>
      <x:c r="D25" s="140"/>
      <x:c r="E25" s="140"/>
      <x:c r="F25" s="141"/>
    </x:row>
    <x:row r="26" ht="24" customHeight="1">
      <x:c r="A26" s="139" t="str">
        <x:v>到期后</x:v>
      </x:c>
      <x:c r="B26" s="140" t="str">
        <x:v>软件不可用（需续订/销毁）</x:v>
      </x:c>
      <x:c r="C26" s="140" t="str">
        <x:v>软件可用，无升级与工单</x:v>
      </x:c>
      <x:c r="D26" s="140"/>
      <x:c r="E26" s="140"/>
      <x:c r="F26" s="141"/>
    </x:row>
    <x:row r="27" ht="24" customHeight="1">
      <x:c r="A27" s="139" t="str">
        <x:v>价格示例（8卡训练+推理）</x:v>
      </x:c>
      <x:c r="B27" s="140" t="str">
        <x:v>约 ¥55,680/年（软件）</x:v>
      </x:c>
      <x:c r="C27" s="140" t="str">
        <x:v>约 ¥192,320（软件）</x:v>
      </x:c>
      <x:c r="D27" s="140"/>
      <x:c r="E27" s="140"/>
      <x:c r="F27" s="141"/>
    </x:row>
    <x:row r="28" ht="24" customHeight="1">
      <x:c r="A28" s="142" t="str">
        <x:v>适用场景</x:v>
      </x:c>
      <x:c r="B28" s="143" t="str">
        <x:v>预算分期、长期运营</x:v>
      </x:c>
      <x:c r="C28" s="143" t="str">
        <x:v>一次性预算、资产化</x:v>
      </x:c>
      <x:c r="D28" s="143"/>
      <x:c r="E28" s="143"/>
      <x:c r="F28" s="144"/>
    </x:row>
    <x:row r="30" ht="16" customHeight="1">
      <x:c r="A30" s="157" t="str">
        <x:v>来源：https://cwiki.yunify.com/pages/viewpage.action?pageId=216789829；报价问题：https://cwiki.yunify.com/pages/viewpage.action?pageId=211110099</x:v>
      </x:c>
      <x:c r="B30" s="157" t="str">
        <x:v>来源：https://cwiki.yunify.com/pages/viewpage.action?pageId=216789829；报价问题：https://cwiki.yunify.com/pages/viewpage.action?pageId=211110099</x:v>
      </x:c>
      <x:c r="C30" s="157" t="str">
        <x:v>来源：https://cwiki.yunify.com/pages/viewpage.action?pageId=216789829；报价问题：https://cwiki.yunify.com/pages/viewpage.action?pageId=211110099</x:v>
      </x:c>
      <x:c r="D30" s="157" t="str">
        <x:v>来源：https://cwiki.yunify.com/pages/viewpage.action?pageId=216789829；报价问题：https://cwiki.yunify.com/pages/viewpage.action?pageId=211110099</x:v>
      </x:c>
      <x:c r="E30" s="157" t="str">
        <x:v>来源：https://cwiki.yunify.com/pages/viewpage.action?pageId=216789829；报价问题：https://cwiki.yunify.com/pages/viewpage.action?pageId=211110099</x:v>
      </x:c>
      <x:c r="F30" s="157" t="str">
        <x:v>来源：https://cwiki.yunify.com/pages/viewpage.action?pageId=216789829；报价问题：https://cwiki.yunify.com/pages/viewpage.action?pageId=211110099</x:v>
      </x:c>
    </x:row>
  </x:sheetData>
  <x:mergeCells>
    <x:mergeCell ref="A1:F1"/>
    <x:mergeCell ref="A2:F2"/>
    <x:mergeCell ref="A4:F4"/>
    <x:mergeCell ref="A19:F19"/>
    <x:mergeCell ref="A21:F21"/>
    <x:mergeCell ref="A22:B22"/>
    <x:mergeCell ref="C22:D22"/>
    <x:mergeCell ref="E22:F22"/>
    <x:mergeCell ref="A23:B23"/>
    <x:mergeCell ref="C23:D23"/>
    <x:mergeCell ref="E23:F23"/>
    <x:mergeCell ref="A24:B24"/>
    <x:mergeCell ref="C24:D24"/>
    <x:mergeCell ref="E24:F24"/>
    <x:mergeCell ref="A25:B25"/>
    <x:mergeCell ref="C25:D25"/>
    <x:mergeCell ref="E25:F25"/>
    <x:mergeCell ref="A26:B26"/>
    <x:mergeCell ref="C26:D26"/>
    <x:mergeCell ref="E26:F26"/>
    <x:mergeCell ref="A27:B27"/>
    <x:mergeCell ref="C27:D27"/>
    <x:mergeCell ref="E27:F27"/>
    <x:mergeCell ref="A28:B28"/>
    <x:mergeCell ref="C28:D28"/>
    <x:mergeCell ref="E28:F28"/>
    <x:mergeCell ref="A30:F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30" hidden="0" customWidth="1"/>
    <x:col min="3" max="3" width="82" hidden="0" customWidth="1"/>
    <x:col min="4" max="4" width="6" hidden="0" customWidth="1"/>
  </x:cols>
  <x:sheetData>
    <x:row r="1" ht="30" customHeight="1">
      <x:c r="A1" s="119" t="str">
        <x:v>私有化部署 · 订阅报价模板 —— 使用说明与条款</x:v>
      </x:c>
      <x:c r="B1" s="119" t="str">
        <x:v>私有化部署 · 订阅报价模板 —— 使用说明与条款</x:v>
      </x:c>
      <x:c r="C1" s="119" t="str">
        <x:v>私有化部署 · 订阅报价模板 —— 使用说明与条款</x:v>
      </x:c>
      <x:c r="D1" s="119" t="str">
        <x:v>私有化部署 · 订阅报价模板 —— 使用说明与条款</x:v>
      </x:c>
    </x:row>
    <x:row r="3" ht="22" customHeight="1">
      <x:c r="B3" s="15" t="str">
        <x:v>一、使用说明</x:v>
      </x:c>
      <x:c r="C3" s="15" t="str">
        <x:v>一、使用说明</x:v>
      </x:c>
    </x:row>
    <x:row r="4" ht="32" customHeight="1">
      <x:c r="B4" s="164" t="str">
        <x:v>1. 在「报价单」明细区按客户实际配置填写：模块、授权单位（GPU/年、CPU/年、人天）、数量、单价；小计与合计自动计算。</x:v>
      </x:c>
      <x:c r="C4" s="164" t="str">
        <x:v>1. 在「报价单」明细区按客户实际配置填写：模块、授权单位（GPU/年、CPU/年、人天）、数量、单价；小计与合计自动计算。</x:v>
      </x:c>
    </x:row>
    <x:row r="5" ht="32" customHeight="1">
      <x:c r="B5" s="164" t="str">
        <x:v>2. 模块单价可参考「订阅价格参考」工作表；数量默认按 GPU 卡数（最低 8 卡），CPU 节点按 CPU 数量。</x:v>
      </x:c>
      <x:c r="C5" s="164" t="str">
        <x:v>2. 模块单价可参考「订阅价格参考」工作表；数量默认按 GPU 卡数（最低 8 卡），CPU 节点按 CPU 数量。</x:v>
      </x:c>
    </x:row>
    <x:row r="6" ht="32" customHeight="1">
      <x:c r="B6" s="164" t="str">
        <x:v>3. 场景选型：见「订阅价格参考」第三节（DeepSeek 部署 / 训练 / 高校 / HPC / 算力中心），据此增减模块。</x:v>
      </x:c>
      <x:c r="C6" s="164" t="str">
        <x:v>3. 场景选型：见「订阅价格参考」第三节（DeepSeek 部署 / 训练 / 高校 / HPC / 算力中心），据此增减模块。</x:v>
      </x:c>
    </x:row>
    <x:row r="7" ht="32" customHeight="1">
      <x:c r="B7" s="164" t="str">
        <x:v>4. 软件订阅税率 6%、实施/增值服务税率 13%（已预置在每行税率列）。</x:v>
      </x:c>
      <x:c r="C7" s="164" t="str">
        <x:v>4. 软件订阅税率 6%、实施/增值服务税率 13%（已预置在每行税率列）。</x:v>
      </x:c>
    </x:row>
    <x:row r="8" ht="32" customHeight="1">
      <x:c r="B8" s="164" t="str">
        <x:v>5. 实施服务必选；示例为 10 人天，请与交付团队确认实际人天。</x:v>
      </x:c>
      <x:c r="C8" s="164" t="str">
        <x:v>5. 实施服务必选；示例为 10 人天，请与交付团队确认实际人天。</x:v>
      </x:c>
    </x:row>
    <x:row r="9" ht="32" customHeight="1">
      <x:c r="B9" s="164" t="str">
        <x:v>6. 正式报价前请与销售/运营确认最新价格、折扣政策与交付条件。</x:v>
      </x:c>
      <x:c r="C9" s="164" t="str">
        <x:v>6. 正式报价前请与销售/运营确认最新价格、折扣政策与交付条件。</x:v>
      </x:c>
    </x:row>
    <x:row r="11" ht="22" customHeight="1">
      <x:c r="B11" s="15" t="str">
        <x:v>二、订阅模式要点</x:v>
      </x:c>
      <x:c r="C11" s="15" t="str">
        <x:v>二、订阅模式要点</x:v>
      </x:c>
    </x:row>
    <x:row r="12" ht="32" customHeight="1">
      <x:c r="B12" s="164" t="str">
        <x:v>1. 订阅价格为年度总价，无折扣，订阅期内维保服务免费，不再额外收取维保费用。</x:v>
      </x:c>
      <x:c r="C12" s="164" t="str">
        <x:v>1. 订阅价格为年度总价，无折扣，订阅期内维保服务免费，不再额外收取维保费用。</x:v>
      </x:c>
    </x:row>
    <x:row r="13" ht="32" customHeight="1">
      <x:c r="B13" s="164" t="str">
        <x:v>2. 订阅版本包含运营计费授权（计量/财务），不单独收费；订阅不含共享 GPU 等单独产品（需另购 GPU 池化模块）。</x:v>
      </x:c>
      <x:c r="C13" s="164" t="str">
        <x:v>2. 订阅版本包含运营计费授权（计量/财务），不单独收费；订阅不含共享 GPU 等单独产品（需另购 GPU 池化模块）。</x:v>
      </x:c>
    </x:row>
    <x:row r="14" ht="32" customHeight="1">
      <x:c r="B14" s="164" t="str">
        <x:v>3. 订阅到期未续订，理论上软件不可用（有到期控制）；届时需配合销毁订阅软件。</x:v>
      </x:c>
      <x:c r="C14" s="164" t="str">
        <x:v>3. 订阅到期未续订，理论上软件不可用（有到期控制）；届时需配合销毁订阅软件。</x:v>
      </x:c>
    </x:row>
    <x:row r="15" ht="32" customHeight="1">
      <x:c r="B15" s="164" t="str">
        <x:v>4. 付款：可年度预付，或按月预付（每月 20 日前支付当月/下月费用，共 12 个计费周期）；发票为增值税专用发票（软件 6%）。</x:v>
      </x:c>
      <x:c r="C15" s="164" t="str">
        <x:v>4. 付款：可年度预付，或按月预付（每月 20 日前支付当月/下月费用，共 12 个计费周期）；发票为增值税专用发票（软件 6%）。</x:v>
      </x:c>
    </x:row>
    <x:row r="16" ht="32" customHeight="1">
      <x:c r="B16" s="164" t="str">
        <x:v>5. 合同参考条款：订阅期 1 年；因平台软件原因不可用超 1 小时未修复计入不可用时长，合同到期补偿延期；故障超 15 日未恢复可解除合同；提前解约违约金为软件订阅年费的 30%。</x:v>
      </x:c>
      <x:c r="C16" s="164" t="str">
        <x:v>5. 合同参考条款：订阅期 1 年；因平台软件原因不可用超 1 小时未修复计入不可用时长，合同到期补偿延期；故障超 15 日未恢复可解除合同；提前解约违约金为软件订阅年费的 30%。</x:v>
      </x:c>
    </x:row>
    <x:row r="17" ht="32" customHeight="1">
      <x:c r="B17" s="164" t="str">
        <x:v>6. 售后：工单 7×24 服务，响应时间 8:00-23:00、1 小时内响应。</x:v>
      </x:c>
      <x:c r="C17" s="164" t="str">
        <x:v>6. 售后：工单 7×24 服务，响应时间 8:00-23:00、1 小时内响应。</x:v>
      </x:c>
    </x:row>
    <x:row r="19" ht="22" customHeight="1">
      <x:c r="B19" s="15" t="str">
        <x:v>三、买断模式要点（如客户要求）</x:v>
      </x:c>
      <x:c r="C19" s="15" t="str">
        <x:v>三、买断模式要点（如客户要求）</x:v>
      </x:c>
    </x:row>
    <x:row r="20" ht="32" customHeight="1">
      <x:c r="B20" s="164" t="str">
        <x:v>1. 一次性 License，默认送 1 年维保；第 2 年起每年维保 = 软件列表价（非折扣价）的 10%。</x:v>
      </x:c>
      <x:c r="C20" s="164" t="str">
        <x:v>1. 一次性 License，默认送 1 年维保；第 2 年起每年维保 = 软件列表价（非折扣价）的 10%。</x:v>
      </x:c>
    </x:row>
    <x:row r="21" ht="32" customHeight="1">
      <x:c r="B21" s="164" t="str">
        <x:v>2. 买断到期不续保：软件仍可继续使用，但没有升级、工单等服务。</x:v>
      </x:c>
      <x:c r="C21" s="164" t="str">
        <x:v>2. 买断到期不续保：软件仍可继续使用，但没有升级、工单等服务。</x:v>
      </x:c>
    </x:row>
    <x:row r="22" ht="32" customHeight="1">
      <x:c r="B22" s="164" t="str">
        <x:v>3. 买断税率 13%。</x:v>
      </x:c>
      <x:c r="C22" s="164" t="str">
        <x:v>3. 买断税率 13%。</x:v>
      </x:c>
    </x:row>
    <x:row r="24" ht="22" customHeight="1">
      <x:c r="B24" s="15" t="str">
        <x:v>四、数据来源（Confluence）</x:v>
      </x:c>
      <x:c r="C24" s="15" t="str">
        <x:v>四、数据来源（Confluence）</x:v>
      </x:c>
    </x:row>
    <x:row r="25" ht="32" customHeight="1">
      <x:c r="B25" s="164" t="str">
        <x:v>青云AI智算平台产品报价-优化：https://cwiki.yunify.com/pages/viewpage.action?pageId=216789829</x:v>
      </x:c>
      <x:c r="C25" s="164" t="str">
        <x:v>青云AI智算平台产品报价-优化：https://cwiki.yunify.com/pages/viewpage.action?pageId=216789829</x:v>
      </x:c>
    </x:row>
    <x:row r="26" ht="32" customHeight="1">
      <x:c r="B26" s="164" t="str">
        <x:v>青云AI智算平台产品报价（废弃0209）：https://cwiki.yunify.com/pages/viewpage.action?pageId=180030865</x:v>
      </x:c>
      <x:c r="C26" s="164" t="str">
        <x:v>青云AI智算平台产品报价（废弃0209）：https://cwiki.yunify.com/pages/viewpage.action?pageId=180030865</x:v>
      </x:c>
    </x:row>
    <x:row r="27" ht="32" customHeight="1">
      <x:c r="B27" s="164" t="str">
        <x:v>智算软件订阅合同模板：https://cwiki.yunify.com/pages/viewpage.action?pageId=197069405</x:v>
      </x:c>
      <x:c r="C27" s="164" t="str">
        <x:v>智算软件订阅合同模板：https://cwiki.yunify.com/pages/viewpage.action?pageId=197069405</x:v>
      </x:c>
    </x:row>
    <x:row r="28" ht="32" customHeight="1">
      <x:c r="B28" s="164" t="str">
        <x:v>附件三《订阅软件售后服务》：https://cwiki.yunify.com/pages/viewpage.action?pageId=197069293</x:v>
      </x:c>
      <x:c r="C28" s="164" t="str">
        <x:v>附件三《订阅软件售后服务》：https://cwiki.yunify.com/pages/viewpage.action?pageId=197069293</x:v>
      </x:c>
    </x:row>
    <x:row r="29" ht="32" customHeight="1">
      <x:c r="B29" s="164" t="str">
        <x:v>AI智算平台报价问题：https://cwiki.yunify.com/pages/viewpage.action?pageId=211110099</x:v>
      </x:c>
      <x:c r="C29" s="164" t="str">
        <x:v>AI智算平台报价问题：https://cwiki.yunify.com/pages/viewpage.action?pageId=211110099</x:v>
      </x:c>
    </x:row>
  </x:sheetData>
  <x:mergeCells>
    <x:mergeCell ref="A1:D1"/>
    <x:mergeCell ref="B3:C3"/>
    <x:mergeCell ref="B4:C4"/>
    <x:mergeCell ref="B5:C5"/>
    <x:mergeCell ref="B6:C6"/>
    <x:mergeCell ref="B7:C7"/>
    <x:mergeCell ref="B8:C8"/>
    <x:mergeCell ref="B9:C9"/>
    <x:mergeCell ref="B11:C11"/>
    <x:mergeCell ref="B12:C12"/>
    <x:mergeCell ref="B13:C13"/>
    <x:mergeCell ref="B14:C14"/>
    <x:mergeCell ref="B15:C15"/>
    <x:mergeCell ref="B16:C16"/>
    <x:mergeCell ref="B17:C17"/>
    <x:mergeCell ref="B19:C19"/>
    <x:mergeCell ref="B20:C20"/>
    <x:mergeCell ref="B21:C21"/>
    <x:mergeCell ref="B22:C22"/>
    <x:mergeCell ref="B24:C24"/>
    <x:mergeCell ref="B25:C25"/>
    <x:mergeCell ref="B26:C26"/>
    <x:mergeCell ref="B27:C27"/>
    <x:mergeCell ref="B28:C28"/>
    <x:mergeCell ref="B29:C29"/>
  </x:mergeCells>
  <x:pageMargins left="0.7" right="0.7" top="0.75" bottom="0.75" header="0.3" footer="0.3"/>
</x:worksheet>
</file>
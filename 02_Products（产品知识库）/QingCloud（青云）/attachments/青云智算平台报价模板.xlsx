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63612ca0eb645e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报价单" sheetId="1" r:id="R7aff8f1241e4466b"/>
    <x:sheet xmlns:r="http://schemas.openxmlformats.org/officeDocument/2006/relationships" name="价格参考" sheetId="2" r:id="Rf0f1b9c1eef04c11"/>
    <x:sheet xmlns:r="http://schemas.openxmlformats.org/officeDocument/2006/relationships" name="使用说明与条款" sheetId="3" r:id="Rc52d52f7d1834ad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yyyy-mm-dd"/>
    <x:numFmt numFmtId="201" formatCode="¥#,##0.00"/>
    <x:numFmt numFmtId="202" formatCode="0.##"/>
    <x:numFmt numFmtId="203" formatCode="0%"/>
  </x:numFmts>
  <x:fonts count="12">
    <x:font>
      <x:sz val="11"/>
      <x:name val="Carlito"/>
    </x:font>
    <x:font>
      <x:b/>
      <x:sz val="20"/>
      <x:color rgb="FFFFFFFF"/>
      <x:name val="Microsoft YaHei"/>
    </x:font>
    <x:font>
      <x:sz val="11"/>
      <x:color rgb="FFFFFFFF"/>
      <x:name val="Microsoft YaHei"/>
    </x:font>
    <x:font>
      <x:sz val="10"/>
      <x:name val="Microsoft YaHei"/>
    </x:font>
    <x:font>
      <x:b/>
      <x:sz val="10"/>
      <x:color rgb="FF1F3864"/>
      <x:name val="Microsoft YaHei"/>
    </x:font>
    <x:font>
      <x:b/>
      <x:sz val="11"/>
      <x:color rgb="FFFFFFFF"/>
      <x:name val="Microsoft YaHei"/>
    </x:font>
    <x:font>
      <x:b/>
      <x:sz val="10"/>
      <x:color rgb="FFFFFFFF"/>
      <x:name val="Microsoft YaHei"/>
    </x:font>
    <x:font>
      <x:i/>
      <x:sz val="9"/>
      <x:color rgb="FF7F7F7F"/>
      <x:name val="Microsoft YaHei"/>
    </x:font>
    <x:font>
      <x:b/>
      <x:sz val="13"/>
      <x:color rgb="FF1F3864"/>
      <x:name val="Microsoft YaHei"/>
    </x:font>
    <x:font>
      <x:sz val="9"/>
      <x:color rgb="FF7F7F7F"/>
      <x:name val="Microsoft YaHei"/>
    </x:font>
    <x:font>
      <x:sz val="10"/>
      <x:color rgb="FF404040"/>
      <x:name val="Microsoft YaHei"/>
    </x:font>
    <x:font>
      <x:sz val="9"/>
      <x:color rgb="FF2E75B6"/>
      <x:name val="Microsoft YaHei"/>
    </x:font>
  </x:fonts>
  <x:fills count="8">
    <x:fill>
      <x:patternFill patternType="none"/>
    </x:fill>
    <x:fill>
      <x:patternFill patternType="gray125"/>
    </x:fill>
    <x:fill>
      <x:patternFill patternType="solid">
        <x:fgColor rgb="FF1F3864"/>
      </x:patternFill>
    </x:fill>
    <x:fill>
      <x:patternFill patternType="solid">
        <x:fgColor rgb="FF2E75B6"/>
      </x:patternFill>
    </x:fill>
    <x:fill>
      <x:patternFill patternType="solid">
        <x:fgColor rgb="FF4472C4"/>
      </x:patternFill>
    </x:fill>
    <x:fill>
      <x:patternFill patternType="solid">
        <x:fgColor rgb="FFFFF6E5"/>
      </x:patternFill>
    </x:fill>
    <x:fill>
      <x:patternFill patternType="solid">
        <x:fgColor rgb="FFDEEBF7"/>
      </x:patternFill>
    </x:fill>
    <x:fill>
      <x:patternFill patternType="solid">
        <x:fgColor rgb="FFFFF2CC"/>
      </x:patternFill>
    </x:fill>
  </x:fills>
  <x:borders count="25">
    <x:border/>
    <x:border>
      <x:right style="thin">
        <x:color rgb="FFB8C4D9"/>
      </x:right>
    </x:border>
    <x:border>
      <x:left style="thin">
        <x:color rgb="FFB8C4D9"/>
      </x:left>
      <x:right style="thin">
        <x:color rgb="FFB8C4D9"/>
      </x:right>
    </x:border>
    <x:border>
      <x:left style="thin">
        <x:color rgb="FFB8C4D9"/>
      </x:left>
    </x:border>
    <x:border>
      <x:right style="thin">
        <x:color rgb="FFB8C4D9"/>
      </x:right>
      <x:bottom style="medium"/>
    </x:border>
    <x:border>
      <x:left style="thin">
        <x:color rgb="FFB8C4D9"/>
      </x:left>
      <x:right style="thin">
        <x:color rgb="FFB8C4D9"/>
      </x:right>
      <x:bottom style="medium"/>
    </x:border>
    <x:border>
      <x:left style="thin">
        <x:color rgb="FFB8C4D9"/>
      </x:left>
      <x:bottom style="medium"/>
    </x:border>
    <x:border>
      <x:right style="thin">
        <x:color rgb="FFB8C4D9"/>
      </x:right>
      <x:bottom style="medium">
        <x:color rgb="FF1F3864"/>
      </x:bottom>
    </x:border>
    <x:border>
      <x:left style="thin">
        <x:color rgb="FFB8C4D9"/>
      </x:left>
      <x:right style="thin">
        <x:color rgb="FFB8C4D9"/>
      </x:right>
      <x:bottom style="medium">
        <x:color rgb="FF1F3864"/>
      </x:bottom>
    </x:border>
    <x:border>
      <x:left style="thin">
        <x:color rgb="FFB8C4D9"/>
      </x:left>
      <x:bottom style="medium">
        <x:color rgb="FF1F3864"/>
      </x:bottom>
    </x:border>
    <x:border>
      <x:right style="thin">
        <x:color rgb="FFB8C4D9"/>
      </x:right>
      <x:bottom style="thin">
        <x:color rgb="FFB8C4D9"/>
      </x:bottom>
    </x:border>
    <x:border>
      <x:left style="thin">
        <x:color rgb="FFB8C4D9"/>
      </x:left>
      <x:right style="thin">
        <x:color rgb="FFB8C4D9"/>
      </x:right>
      <x:bottom style="thin">
        <x:color rgb="FFB8C4D9"/>
      </x:bottom>
    </x:border>
    <x:border>
      <x:left style="thin">
        <x:color rgb="FFB8C4D9"/>
      </x:left>
      <x:bottom style="thin">
        <x:color rgb="FFB8C4D9"/>
      </x:bottom>
    </x:border>
    <x:border>
      <x:right style="thin">
        <x:color rgb="FFB8C4D9"/>
      </x:right>
      <x:top style="thin">
        <x:color rgb="FFB8C4D9"/>
      </x:top>
      <x:bottom style="thin">
        <x:color rgb="FFB8C4D9"/>
      </x:bottom>
    </x:border>
    <x:border>
      <x:left style="thin">
        <x:color rgb="FFB8C4D9"/>
      </x:left>
      <x:right style="thin">
        <x:color rgb="FFB8C4D9"/>
      </x:right>
      <x:top style="thin">
        <x:color rgb="FFB8C4D9"/>
      </x:top>
      <x:bottom style="thin">
        <x:color rgb="FFB8C4D9"/>
      </x:bottom>
    </x:border>
    <x:border>
      <x:left style="thin">
        <x:color rgb="FFB8C4D9"/>
      </x:left>
      <x:top style="thin">
        <x:color rgb="FFB8C4D9"/>
      </x:top>
      <x:bottom style="thin">
        <x:color rgb="FFB8C4D9"/>
      </x:bottom>
    </x:border>
    <x:border>
      <x:right style="thin">
        <x:color rgb="FFB8C4D9"/>
      </x:right>
      <x:top style="thin">
        <x:color rgb="FFB8C4D9"/>
      </x:top>
    </x:border>
    <x:border>
      <x:left style="thin">
        <x:color rgb="FFB8C4D9"/>
      </x:left>
      <x:right style="thin">
        <x:color rgb="FFB8C4D9"/>
      </x:right>
      <x:top style="thin">
        <x:color rgb="FFB8C4D9"/>
      </x:top>
    </x:border>
    <x:border>
      <x:left style="thin">
        <x:color rgb="FFB8C4D9"/>
      </x:left>
      <x:top style="thin">
        <x:color rgb="FFB8C4D9"/>
      </x:top>
    </x:border>
    <x:border>
      <x:left style="thin">
        <x:color rgb="FF2E75B6"/>
      </x:left>
      <x:top style="thin">
        <x:color rgb="FF2E75B6"/>
      </x:top>
      <x:bottom style="thin">
        <x:color rgb="FF2E75B6"/>
      </x:bottom>
    </x:border>
    <x:border>
      <x:top style="thin">
        <x:color rgb="FF2E75B6"/>
      </x:top>
      <x:bottom style="thin">
        <x:color rgb="FF2E75B6"/>
      </x:bottom>
    </x:border>
    <x:border>
      <x:right style="thin">
        <x:color rgb="FF2E75B6"/>
      </x:right>
      <x:top style="thin">
        <x:color rgb="FF2E75B6"/>
      </x:top>
      <x:bottom style="thin">
        <x:color rgb="FF2E75B6"/>
      </x:bottom>
    </x:border>
    <x:border>
      <x:left style="medium">
        <x:color rgb="FFBF8F00"/>
      </x:left>
      <x:top style="medium">
        <x:color rgb="FFBF8F00"/>
      </x:top>
      <x:bottom style="medium">
        <x:color rgb="FFBF8F00"/>
      </x:bottom>
    </x:border>
    <x:border>
      <x:top style="medium">
        <x:color rgb="FFBF8F00"/>
      </x:top>
      <x:bottom style="medium">
        <x:color rgb="FFBF8F00"/>
      </x:bottom>
    </x:border>
    <x:border>
      <x:right style="medium">
        <x:color rgb="FFBF8F00"/>
      </x:right>
      <x:top style="medium">
        <x:color rgb="FFBF8F00"/>
      </x:top>
      <x:bottom style="medium">
        <x:color rgb="FFBF8F00"/>
      </x:bottom>
    </x:border>
  </x:borders>
  <x:cellStyleXfs count="1">
    <x:xf numFmtId="0" fontId="0" fillId="0" borderId="0"/>
  </x:cellStyleXfs>
  <x:cellXfs count="16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vertical="center"/>
    </x:xf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 applyAlignment="1">
      <x:alignment vertical="center"/>
    </x:xf>
    <x:xf numFmtId="200" fontId="3" fillId="0" borderId="0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5" fillId="4" borderId="0" xfId="0" applyNumberFormat="1" applyFont="1" applyFill="1" applyBorder="1"/>
    <x:xf numFmtId="0" fontId="5" fillId="4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 applyAlignment="1">
      <x:alignment vertical="center" wrapText="1"/>
    </x:xf>
    <x:xf numFmtId="0" fontId="6" fillId="2" borderId="0" xfId="0" applyNumberFormat="1" applyFont="1" applyFill="1" applyBorder="1"/>
    <x:xf numFmtId="0" fontId="6" fillId="2" borderId="1" xfId="0" applyNumberFormat="1" applyFont="1" applyFill="1" applyBorder="1"/>
    <x:xf numFmtId="0" fontId="6" fillId="2" borderId="2" xfId="0" applyNumberFormat="1" applyFont="1" applyFill="1" applyBorder="1"/>
    <x:xf numFmtId="0" fontId="6" fillId="2" borderId="3" xfId="0" applyNumberFormat="1" applyFont="1" applyFill="1" applyBorder="1"/>
    <x:xf numFmtId="0" fontId="6" fillId="2" borderId="1" xfId="0" applyNumberFormat="1" applyFont="1" applyFill="1" applyBorder="1" applyAlignment="1">
      <x:alignment horizontal="center"/>
    </x:xf>
    <x:xf numFmtId="0" fontId="6" fillId="2" borderId="2" xfId="0" applyNumberFormat="1" applyFont="1" applyFill="1" applyBorder="1" applyAlignment="1">
      <x:alignment horizontal="center"/>
    </x:xf>
    <x:xf numFmtId="0" fontId="6" fillId="2" borderId="3" xfId="0" applyNumberFormat="1" applyFont="1" applyFill="1" applyBorder="1" applyAlignment="1">
      <x:alignment horizontal="center"/>
    </x:xf>
    <x:xf numFmtId="0" fontId="6" fillId="2" borderId="1" xfId="0" applyNumberFormat="1" applyFont="1" applyFill="1" applyBorder="1" applyAlignment="1">
      <x:alignment horizontal="center" vertical="center"/>
    </x:xf>
    <x:xf numFmtId="0" fontId="6" fillId="2" borderId="2" xfId="0" applyNumberFormat="1" applyFont="1" applyFill="1" applyBorder="1" applyAlignment="1">
      <x:alignment horizontal="center" vertical="center"/>
    </x:xf>
    <x:xf numFmtId="0" fontId="6" fillId="2" borderId="3" xfId="0" applyNumberFormat="1" applyFont="1" applyFill="1" applyBorder="1" applyAlignment="1">
      <x:alignment horizontal="center" vertical="center"/>
    </x:xf>
    <x:xf numFmtId="0" fontId="6" fillId="2" borderId="4" xfId="0" applyNumberFormat="1" applyFont="1" applyFill="1" applyBorder="1" applyAlignment="1">
      <x:alignment horizontal="center" vertical="center"/>
    </x:xf>
    <x:xf numFmtId="0" fontId="6" fillId="2" borderId="5" xfId="0" applyNumberFormat="1" applyFont="1" applyFill="1" applyBorder="1" applyAlignment="1">
      <x:alignment horizontal="center" vertical="center"/>
    </x:xf>
    <x:xf numFmtId="0" fontId="6" fillId="2" borderId="6" xfId="0" applyNumberFormat="1" applyFont="1" applyFill="1" applyBorder="1" applyAlignment="1">
      <x:alignment horizontal="center" vertical="center"/>
    </x:xf>
    <x:xf numFmtId="0" fontId="6" fillId="2" borderId="7" xfId="0" applyNumberFormat="1" applyFont="1" applyFill="1" applyBorder="1" applyAlignment="1">
      <x:alignment horizontal="center" vertical="center"/>
    </x:xf>
    <x:xf numFmtId="0" fontId="6" fillId="2" borderId="8" xfId="0" applyNumberFormat="1" applyFont="1" applyFill="1" applyBorder="1" applyAlignment="1">
      <x:alignment horizontal="center" vertical="center"/>
    </x:xf>
    <x:xf numFmtId="0" fontId="6" fillId="2" borderId="9" xfId="0" applyNumberFormat="1" applyFont="1" applyFill="1" applyBorder="1" applyAlignment="1">
      <x:alignment horizontal="center" vertical="center"/>
    </x:xf>
    <x:xf numFmtId="0" fontId="3" fillId="0" borderId="10" xfId="0" applyNumberFormat="1" applyFont="1" applyFill="1" applyBorder="1"/>
    <x:xf numFmtId="0" fontId="3" fillId="0" borderId="11" xfId="0" applyNumberFormat="1" applyFont="1" applyFill="1" applyBorder="1"/>
    <x:xf numFmtId="0" fontId="3" fillId="0" borderId="12" xfId="0" applyNumberFormat="1" applyFont="1" applyFill="1" applyBorder="1"/>
    <x:xf numFmtId="0" fontId="3" fillId="0" borderId="13" xfId="0" applyNumberFormat="1" applyFont="1" applyFill="1" applyBorder="1"/>
    <x:xf numFmtId="0" fontId="3" fillId="0" borderId="14" xfId="0" applyNumberFormat="1" applyFont="1" applyFill="1" applyBorder="1"/>
    <x:xf numFmtId="0" fontId="3" fillId="0" borderId="15" xfId="0" applyNumberFormat="1" applyFont="1" applyFill="1" applyBorder="1"/>
    <x:xf numFmtId="0" fontId="3" fillId="0" borderId="16" xfId="0" applyNumberFormat="1" applyFont="1" applyFill="1" applyBorder="1"/>
    <x:xf numFmtId="0" fontId="3" fillId="0" borderId="17" xfId="0" applyNumberFormat="1" applyFont="1" applyFill="1" applyBorder="1"/>
    <x:xf numFmtId="0" fontId="3" fillId="0" borderId="18" xfId="0" applyNumberFormat="1" applyFont="1" applyFill="1" applyBorder="1"/>
    <x:xf numFmtId="0" fontId="3" fillId="0" borderId="10" xfId="0" applyNumberFormat="1" applyFont="1" applyFill="1" applyBorder="1" applyAlignment="1">
      <x:alignment horizontal="center"/>
    </x:xf>
    <x:xf numFmtId="0" fontId="3" fillId="0" borderId="11" xfId="0" applyNumberFormat="1" applyFont="1" applyFill="1" applyBorder="1" applyAlignment="1">
      <x:alignment horizontal="center"/>
    </x:xf>
    <x:xf numFmtId="0" fontId="3" fillId="0" borderId="12" xfId="0" applyNumberFormat="1" applyFont="1" applyFill="1" applyBorder="1" applyAlignment="1">
      <x:alignment horizontal="center"/>
    </x:xf>
    <x:xf numFmtId="0" fontId="3" fillId="0" borderId="13" xfId="0" applyNumberFormat="1" applyFont="1" applyFill="1" applyBorder="1" applyAlignment="1">
      <x:alignment horizontal="center"/>
    </x:xf>
    <x:xf numFmtId="0" fontId="3" fillId="0" borderId="14" xfId="0" applyNumberFormat="1" applyFont="1" applyFill="1" applyBorder="1" applyAlignment="1">
      <x:alignment horizontal="center"/>
    </x:xf>
    <x:xf numFmtId="0" fontId="3" fillId="0" borderId="15" xfId="0" applyNumberFormat="1" applyFont="1" applyFill="1" applyBorder="1" applyAlignment="1">
      <x:alignment horizontal="center"/>
    </x:xf>
    <x:xf numFmtId="0" fontId="3" fillId="0" borderId="16" xfId="0" applyNumberFormat="1" applyFont="1" applyFill="1" applyBorder="1" applyAlignment="1">
      <x:alignment horizontal="center"/>
    </x:xf>
    <x:xf numFmtId="0" fontId="3" fillId="0" borderId="17" xfId="0" applyNumberFormat="1" applyFont="1" applyFill="1" applyBorder="1" applyAlignment="1">
      <x:alignment horizontal="center"/>
    </x:xf>
    <x:xf numFmtId="0" fontId="3" fillId="0" borderId="18" xfId="0" applyNumberFormat="1" applyFont="1" applyFill="1" applyBorder="1" applyAlignment="1">
      <x:alignment horizontal="center"/>
    </x:xf>
    <x:xf numFmtId="0" fontId="3" fillId="0" borderId="10" xfId="0" applyNumberFormat="1" applyFont="1" applyFill="1" applyBorder="1" applyAlignment="1">
      <x:alignment horizontal="center" vertical="center"/>
    </x:xf>
    <x:xf numFmtId="0" fontId="3" fillId="0" borderId="11" xfId="0" applyNumberFormat="1" applyFont="1" applyFill="1" applyBorder="1" applyAlignment="1">
      <x:alignment horizontal="center" vertical="center"/>
    </x:xf>
    <x:xf numFmtId="0" fontId="3" fillId="0" borderId="12" xfId="0" applyNumberFormat="1" applyFont="1" applyFill="1" applyBorder="1" applyAlignment="1">
      <x:alignment horizontal="center" vertical="center"/>
    </x:xf>
    <x:xf numFmtId="0" fontId="3" fillId="0" borderId="13" xfId="0" applyNumberFormat="1" applyFont="1" applyFill="1" applyBorder="1" applyAlignment="1">
      <x:alignment horizontal="center" vertical="center"/>
    </x:xf>
    <x:xf numFmtId="0" fontId="3" fillId="0" borderId="14" xfId="0" applyNumberFormat="1" applyFont="1" applyFill="1" applyBorder="1" applyAlignment="1">
      <x:alignment horizontal="center" vertical="center"/>
    </x:xf>
    <x:xf numFmtId="0" fontId="3" fillId="0" borderId="15" xfId="0" applyNumberFormat="1" applyFont="1" applyFill="1" applyBorder="1" applyAlignment="1">
      <x:alignment horizontal="center" vertical="center"/>
    </x:xf>
    <x:xf numFmtId="0" fontId="3" fillId="0" borderId="16" xfId="0" applyNumberFormat="1" applyFont="1" applyFill="1" applyBorder="1" applyAlignment="1">
      <x:alignment horizontal="center" vertical="center"/>
    </x:xf>
    <x:xf numFmtId="0" fontId="3" fillId="0" borderId="17" xfId="0" applyNumberFormat="1" applyFont="1" applyFill="1" applyBorder="1" applyAlignment="1">
      <x:alignment horizontal="center" vertical="center"/>
    </x:xf>
    <x:xf numFmtId="0" fontId="3" fillId="0" borderId="18" xfId="0" applyNumberFormat="1" applyFont="1" applyFill="1" applyBorder="1" applyAlignment="1">
      <x:alignment horizontal="center" vertical="center"/>
    </x:xf>
    <x:xf numFmtId="0" fontId="3" fillId="0" borderId="11" xfId="0" applyNumberFormat="1" applyFont="1" applyFill="1" applyBorder="1" applyAlignment="1">
      <x:alignment horizontal="left" vertical="center"/>
    </x:xf>
    <x:xf numFmtId="0" fontId="3" fillId="0" borderId="14" xfId="0" applyNumberFormat="1" applyFont="1" applyFill="1" applyBorder="1" applyAlignment="1">
      <x:alignment horizontal="left" vertical="center"/>
    </x:xf>
    <x:xf numFmtId="0" fontId="3" fillId="0" borderId="17" xfId="0" applyNumberFormat="1" applyFont="1" applyFill="1" applyBorder="1" applyAlignment="1">
      <x:alignment horizontal="left" vertical="center"/>
    </x:xf>
    <x:xf numFmtId="0" fontId="3" fillId="0" borderId="11" xfId="0" applyNumberFormat="1" applyFont="1" applyFill="1" applyBorder="1" applyAlignment="1">
      <x:alignment horizontal="left" vertical="center" wrapText="1"/>
    </x:xf>
    <x:xf numFmtId="0" fontId="3" fillId="0" borderId="14" xfId="0" applyNumberFormat="1" applyFont="1" applyFill="1" applyBorder="1" applyAlignment="1">
      <x:alignment horizontal="left" vertical="center" wrapText="1"/>
    </x:xf>
    <x:xf numFmtId="0" fontId="3" fillId="0" borderId="17" xfId="0" applyNumberFormat="1" applyFont="1" applyFill="1" applyBorder="1" applyAlignment="1">
      <x:alignment horizontal="left" vertical="center" wrapText="1"/>
    </x:xf>
    <x:xf numFmtId="201" fontId="3" fillId="0" borderId="11" xfId="0" applyNumberFormat="1" applyFont="1" applyFill="1" applyBorder="1" applyAlignment="1">
      <x:alignment horizontal="center" vertical="center"/>
    </x:xf>
    <x:xf numFmtId="201" fontId="3" fillId="0" borderId="12" xfId="0" applyNumberFormat="1" applyFont="1" applyFill="1" applyBorder="1" applyAlignment="1">
      <x:alignment horizontal="center" vertical="center"/>
    </x:xf>
    <x:xf numFmtId="201" fontId="3" fillId="0" borderId="14" xfId="0" applyNumberFormat="1" applyFont="1" applyFill="1" applyBorder="1" applyAlignment="1">
      <x:alignment horizontal="center" vertical="center"/>
    </x:xf>
    <x:xf numFmtId="201" fontId="3" fillId="0" borderId="15" xfId="0" applyNumberFormat="1" applyFont="1" applyFill="1" applyBorder="1" applyAlignment="1">
      <x:alignment horizontal="center" vertical="center"/>
    </x:xf>
    <x:xf numFmtId="201" fontId="3" fillId="0" borderId="17" xfId="0" applyNumberFormat="1" applyFont="1" applyFill="1" applyBorder="1" applyAlignment="1">
      <x:alignment horizontal="center" vertical="center"/>
    </x:xf>
    <x:xf numFmtId="201" fontId="3" fillId="0" borderId="18" xfId="0" applyNumberFormat="1" applyFont="1" applyFill="1" applyBorder="1" applyAlignment="1">
      <x:alignment horizontal="center" vertical="center"/>
    </x:xf>
    <x:xf numFmtId="202" fontId="3" fillId="0" borderId="11" xfId="0" applyNumberFormat="1" applyFont="1" applyFill="1" applyBorder="1" applyAlignment="1">
      <x:alignment horizontal="center" vertical="center"/>
    </x:xf>
    <x:xf numFmtId="202" fontId="3" fillId="0" borderId="14" xfId="0" applyNumberFormat="1" applyFont="1" applyFill="1" applyBorder="1" applyAlignment="1">
      <x:alignment horizontal="center" vertical="center"/>
    </x:xf>
    <x:xf numFmtId="202" fontId="3" fillId="0" borderId="17" xfId="0" applyNumberFormat="1" applyFont="1" applyFill="1" applyBorder="1" applyAlignment="1">
      <x:alignment horizontal="center" vertical="center"/>
    </x:xf>
    <x:xf numFmtId="203" fontId="3" fillId="0" borderId="11" xfId="0" applyNumberFormat="1" applyFont="1" applyFill="1" applyBorder="1" applyAlignment="1">
      <x:alignment horizontal="center" vertical="center"/>
    </x:xf>
    <x:xf numFmtId="203" fontId="3" fillId="0" borderId="14" xfId="0" applyNumberFormat="1" applyFont="1" applyFill="1" applyBorder="1" applyAlignment="1">
      <x:alignment horizontal="center" vertical="center"/>
    </x:xf>
    <x:xf numFmtId="203" fontId="3" fillId="0" borderId="17" xfId="0" applyNumberFormat="1" applyFont="1" applyFill="1" applyBorder="1" applyAlignment="1">
      <x:alignment horizontal="center" vertical="center"/>
    </x:xf>
    <x:xf numFmtId="0" fontId="3" fillId="5" borderId="10" xfId="0" applyNumberFormat="1" applyFont="1" applyFill="1" applyBorder="1" applyAlignment="1">
      <x:alignment horizontal="center" vertical="center"/>
    </x:xf>
    <x:xf numFmtId="0" fontId="3" fillId="5" borderId="11" xfId="0" applyNumberFormat="1" applyFont="1" applyFill="1" applyBorder="1" applyAlignment="1">
      <x:alignment horizontal="center" vertical="center"/>
    </x:xf>
    <x:xf numFmtId="0" fontId="3" fillId="5" borderId="11" xfId="0" applyNumberFormat="1" applyFont="1" applyFill="1" applyBorder="1" applyAlignment="1">
      <x:alignment horizontal="left" vertical="center"/>
    </x:xf>
    <x:xf numFmtId="0" fontId="3" fillId="5" borderId="11" xfId="0" applyNumberFormat="1" applyFont="1" applyFill="1" applyBorder="1" applyAlignment="1">
      <x:alignment horizontal="left" vertical="center" wrapText="1"/>
    </x:xf>
    <x:xf numFmtId="202" fontId="3" fillId="5" borderId="11" xfId="0" applyNumberFormat="1" applyFont="1" applyFill="1" applyBorder="1" applyAlignment="1">
      <x:alignment horizontal="center" vertical="center"/>
    </x:xf>
    <x:xf numFmtId="201" fontId="3" fillId="5" borderId="11" xfId="0" applyNumberFormat="1" applyFont="1" applyFill="1" applyBorder="1" applyAlignment="1">
      <x:alignment horizontal="center" vertical="center"/>
    </x:xf>
    <x:xf numFmtId="203" fontId="3" fillId="5" borderId="11" xfId="0" applyNumberFormat="1" applyFont="1" applyFill="1" applyBorder="1" applyAlignment="1">
      <x:alignment horizontal="center" vertical="center"/>
    </x:xf>
    <x:xf numFmtId="201" fontId="3" fillId="5" borderId="12" xfId="0" applyNumberFormat="1" applyFont="1" applyFill="1" applyBorder="1" applyAlignment="1">
      <x:alignment horizontal="center" vertical="center"/>
    </x:xf>
    <x:xf numFmtId="0" fontId="3" fillId="5" borderId="13" xfId="0" applyNumberFormat="1" applyFont="1" applyFill="1" applyBorder="1" applyAlignment="1">
      <x:alignment horizontal="center" vertical="center"/>
    </x:xf>
    <x:xf numFmtId="0" fontId="3" fillId="5" borderId="14" xfId="0" applyNumberFormat="1" applyFont="1" applyFill="1" applyBorder="1" applyAlignment="1">
      <x:alignment horizontal="center" vertical="center"/>
    </x:xf>
    <x:xf numFmtId="0" fontId="3" fillId="5" borderId="14" xfId="0" applyNumberFormat="1" applyFont="1" applyFill="1" applyBorder="1" applyAlignment="1">
      <x:alignment horizontal="left" vertical="center"/>
    </x:xf>
    <x:xf numFmtId="0" fontId="3" fillId="5" borderId="14" xfId="0" applyNumberFormat="1" applyFont="1" applyFill="1" applyBorder="1" applyAlignment="1">
      <x:alignment horizontal="left" vertical="center" wrapText="1"/>
    </x:xf>
    <x:xf numFmtId="202" fontId="3" fillId="5" borderId="14" xfId="0" applyNumberFormat="1" applyFont="1" applyFill="1" applyBorder="1" applyAlignment="1">
      <x:alignment horizontal="center" vertical="center"/>
    </x:xf>
    <x:xf numFmtId="201" fontId="3" fillId="5" borderId="14" xfId="0" applyNumberFormat="1" applyFont="1" applyFill="1" applyBorder="1" applyAlignment="1">
      <x:alignment horizontal="center" vertical="center"/>
    </x:xf>
    <x:xf numFmtId="203" fontId="3" fillId="5" borderId="14" xfId="0" applyNumberFormat="1" applyFont="1" applyFill="1" applyBorder="1" applyAlignment="1">
      <x:alignment horizontal="center" vertical="center"/>
    </x:xf>
    <x:xf numFmtId="201" fontId="3" fillId="5" borderId="15" xfId="0" applyNumberFormat="1" applyFont="1" applyFill="1" applyBorder="1" applyAlignment="1">
      <x:alignment horizontal="center" vertical="center"/>
    </x:xf>
    <x:xf numFmtId="0" fontId="7" fillId="0" borderId="0" xfId="0" applyNumberFormat="1" applyFont="1" applyFill="1" applyBorder="1"/>
    <x:xf numFmtId="0" fontId="7" fillId="0" borderId="0" xfId="0" applyNumberFormat="1" applyFont="1" applyFill="1" applyBorder="1" applyAlignment="1">
      <x:alignment wrapText="1"/>
    </x:xf>
    <x:xf numFmtId="0" fontId="7" fillId="0" borderId="0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 applyAlignment="1">
      <x:alignment horizontal="right" vertical="center"/>
    </x:xf>
    <x:xf numFmtId="201" fontId="3" fillId="0" borderId="0" xfId="0" applyNumberFormat="1" applyFont="1" applyFill="1" applyBorder="1" applyAlignment="1">
      <x:alignment vertical="center"/>
    </x:xf>
    <x:xf numFmtId="203" fontId="3" fillId="0" borderId="0" xfId="0" applyNumberFormat="1" applyFont="1" applyFill="1" applyBorder="1" applyAlignment="1">
      <x:alignment vertical="center"/>
    </x:xf>
    <x:xf numFmtId="201" fontId="3" fillId="6" borderId="0" xfId="0" applyNumberFormat="1" applyFont="1" applyFill="1" applyBorder="1" applyAlignment="1">
      <x:alignment vertical="center"/>
    </x:xf>
    <x:xf numFmtId="201" fontId="3" fillId="6" borderId="19" xfId="0" applyNumberFormat="1" applyFont="1" applyFill="1" applyBorder="1" applyAlignment="1">
      <x:alignment vertical="center"/>
    </x:xf>
    <x:xf numFmtId="201" fontId="3" fillId="6" borderId="20" xfId="0" applyNumberFormat="1" applyFont="1" applyFill="1" applyBorder="1" applyAlignment="1">
      <x:alignment vertical="center"/>
    </x:xf>
    <x:xf numFmtId="201" fontId="3" fillId="6" borderId="21" xfId="0" applyNumberFormat="1" applyFont="1" applyFill="1" applyBorder="1" applyAlignment="1">
      <x:alignment vertical="center"/>
    </x:xf>
    <x:xf numFmtId="201" fontId="3" fillId="7" borderId="0" xfId="0" applyNumberFormat="1" applyFont="1" applyFill="1" applyBorder="1" applyAlignment="1">
      <x:alignment vertical="center"/>
    </x:xf>
    <x:xf numFmtId="201" fontId="8" fillId="7" borderId="0" xfId="0" applyNumberFormat="1" applyFont="1" applyFill="1" applyBorder="1" applyAlignment="1">
      <x:alignment vertical="center"/>
    </x:xf>
    <x:xf numFmtId="201" fontId="8" fillId="7" borderId="22" xfId="0" applyNumberFormat="1" applyFont="1" applyFill="1" applyBorder="1" applyAlignment="1">
      <x:alignment vertical="center"/>
    </x:xf>
    <x:xf numFmtId="201" fontId="8" fillId="7" borderId="23" xfId="0" applyNumberFormat="1" applyFont="1" applyFill="1" applyBorder="1" applyAlignment="1">
      <x:alignment vertical="center"/>
    </x:xf>
    <x:xf numFmtId="201" fontId="8" fillId="7" borderId="24" xfId="0" applyNumberFormat="1" applyFont="1" applyFill="1" applyBorder="1" applyAlignment="1">
      <x:alignment vertical="center"/>
    </x:xf>
    <x:xf numFmtId="0" fontId="9" fillId="0" borderId="0" xfId="0" applyNumberFormat="1" applyFont="1" applyFill="1" applyBorder="1" applyAlignment="1">
      <x:alignment vertical="center"/>
    </x:xf>
    <x:xf numFmtId="0" fontId="10" fillId="0" borderId="0" xfId="0" applyNumberFormat="1" applyFont="1" applyFill="1" applyBorder="1"/>
    <x:xf numFmtId="0" fontId="10" fillId="0" borderId="0" xfId="0" applyNumberFormat="1" applyFont="1" applyFill="1" applyBorder="1" applyAlignment="1">
      <x:alignment wrapText="1"/>
    </x:xf>
    <x:xf numFmtId="0" fontId="10" fillId="0" borderId="0" xfId="0" applyNumberFormat="1" applyFont="1" applyFill="1" applyBorder="1" applyAlignment="1">
      <x:alignment vertical="center" wrapText="1"/>
    </x:xf>
    <x:xf numFmtId="0" fontId="9" fillId="0" borderId="0" xfId="0" applyNumberFormat="1" applyFont="1" applyFill="1" applyBorder="1"/>
    <x:xf numFmtId="0" fontId="9" fillId="0" borderId="0" xfId="0" applyNumberFormat="1" applyFont="1" applyFill="1" applyBorder="1" applyAlignment="1">
      <x:alignment wrapText="1"/>
    </x:xf>
    <x:xf numFmtId="0" fontId="9" fillId="0" borderId="0" xfId="0" applyNumberFormat="1" applyFont="1" applyFill="1" applyBorder="1" applyAlignment="1">
      <x:alignment vertical="center" wrapText="1"/>
    </x:xf>
    <x:xf numFmtId="0" fontId="0" fillId="6" borderId="0" xfId="0" applyNumberFormat="1" applyFont="1" applyFill="1" applyBorder="1"/>
    <x:xf numFmtId="0" fontId="4" fillId="6" borderId="0" xfId="0" applyNumberFormat="1" applyFont="1" applyFill="1" applyBorder="1"/>
    <x:xf numFmtId="0" fontId="4" fillId="6" borderId="0" xfId="0" applyNumberFormat="1" applyFont="1" applyFill="1" applyBorder="1" applyAlignment="1">
      <x:alignment horizontal="center"/>
    </x:xf>
    <x:xf numFmtId="0" fontId="4" fillId="6" borderId="0" xfId="0" applyNumberFormat="1" applyFont="1" applyFill="1" applyBorder="1" applyAlignment="1">
      <x:alignment horizontal="center" vertical="center"/>
    </x:xf>
    <x:xf numFmtId="0" fontId="3" fillId="0" borderId="10" xfId="0" applyNumberFormat="1" applyFont="1" applyFill="1" applyBorder="1" applyAlignment="1">
      <x:alignment vertical="center"/>
    </x:xf>
    <x:xf numFmtId="0" fontId="3" fillId="0" borderId="11" xfId="0" applyNumberFormat="1" applyFont="1" applyFill="1" applyBorder="1" applyAlignment="1">
      <x:alignment vertical="center"/>
    </x:xf>
    <x:xf numFmtId="0" fontId="3" fillId="0" borderId="12" xfId="0" applyNumberFormat="1" applyFont="1" applyFill="1" applyBorder="1" applyAlignment="1">
      <x:alignment vertical="center"/>
    </x:xf>
    <x:xf numFmtId="0" fontId="3" fillId="0" borderId="13" xfId="0" applyNumberFormat="1" applyFont="1" applyFill="1" applyBorder="1" applyAlignment="1">
      <x:alignment vertical="center"/>
    </x:xf>
    <x:xf numFmtId="0" fontId="3" fillId="0" borderId="14" xfId="0" applyNumberFormat="1" applyFont="1" applyFill="1" applyBorder="1" applyAlignment="1">
      <x:alignment vertical="center"/>
    </x:xf>
    <x:xf numFmtId="0" fontId="3" fillId="0" borderId="15" xfId="0" applyNumberFormat="1" applyFont="1" applyFill="1" applyBorder="1" applyAlignment="1">
      <x:alignment vertical="center"/>
    </x:xf>
    <x:xf numFmtId="0" fontId="3" fillId="0" borderId="16" xfId="0" applyNumberFormat="1" applyFont="1" applyFill="1" applyBorder="1" applyAlignment="1">
      <x:alignment vertical="center"/>
    </x:xf>
    <x:xf numFmtId="0" fontId="3" fillId="0" borderId="17" xfId="0" applyNumberFormat="1" applyFont="1" applyFill="1" applyBorder="1" applyAlignment="1">
      <x:alignment vertical="center"/>
    </x:xf>
    <x:xf numFmtId="0" fontId="3" fillId="0" borderId="18" xfId="0" applyNumberFormat="1" applyFont="1" applyFill="1" applyBorder="1" applyAlignment="1">
      <x:alignment vertical="center"/>
    </x:xf>
    <x:xf numFmtId="0" fontId="3" fillId="0" borderId="10" xfId="0" applyNumberFormat="1" applyFont="1" applyFill="1" applyBorder="1" applyAlignment="1">
      <x:alignment horizontal="left" vertical="center"/>
    </x:xf>
    <x:xf numFmtId="0" fontId="3" fillId="0" borderId="13" xfId="0" applyNumberFormat="1" applyFont="1" applyFill="1" applyBorder="1" applyAlignment="1">
      <x:alignment horizontal="left" vertical="center"/>
    </x:xf>
    <x:xf numFmtId="0" fontId="3" fillId="0" borderId="16" xfId="0" applyNumberFormat="1" applyFont="1" applyFill="1" applyBorder="1" applyAlignment="1">
      <x:alignment horizontal="left" vertical="center"/>
    </x:xf>
    <x:xf numFmtId="201" fontId="3" fillId="0" borderId="11" xfId="0" applyNumberFormat="1" applyFont="1" applyFill="1" applyBorder="1" applyAlignment="1">
      <x:alignment vertical="center"/>
    </x:xf>
    <x:xf numFmtId="201" fontId="3" fillId="0" borderId="12" xfId="0" applyNumberFormat="1" applyFont="1" applyFill="1" applyBorder="1" applyAlignment="1">
      <x:alignment vertical="center"/>
    </x:xf>
    <x:xf numFmtId="201" fontId="3" fillId="0" borderId="14" xfId="0" applyNumberFormat="1" applyFont="1" applyFill="1" applyBorder="1" applyAlignment="1">
      <x:alignment vertical="center"/>
    </x:xf>
    <x:xf numFmtId="201" fontId="3" fillId="0" borderId="15" xfId="0" applyNumberFormat="1" applyFont="1" applyFill="1" applyBorder="1" applyAlignment="1">
      <x:alignment vertical="center"/>
    </x:xf>
    <x:xf numFmtId="201" fontId="3" fillId="0" borderId="17" xfId="0" applyNumberFormat="1" applyFont="1" applyFill="1" applyBorder="1" applyAlignment="1">
      <x:alignment vertical="center"/>
    </x:xf>
    <x:xf numFmtId="201" fontId="3" fillId="0" borderId="18" xfId="0" applyNumberFormat="1" applyFont="1" applyFill="1" applyBorder="1" applyAlignment="1">
      <x:alignment vertical="center"/>
    </x:xf>
    <x:xf numFmtId="0" fontId="7" fillId="0" borderId="0" xfId="0" applyNumberFormat="1" applyFont="1" applyFill="1" applyBorder="1" applyAlignment="1">
      <x:alignment vertical="center"/>
    </x:xf>
    <x:xf numFmtId="0" fontId="3" fillId="0" borderId="10" xfId="0" applyNumberFormat="1" applyFont="1" applyFill="1" applyBorder="1" applyAlignment="1">
      <x:alignment wrapText="1"/>
    </x:xf>
    <x:xf numFmtId="0" fontId="3" fillId="0" borderId="11" xfId="0" applyNumberFormat="1" applyFont="1" applyFill="1" applyBorder="1" applyAlignment="1">
      <x:alignment wrapText="1"/>
    </x:xf>
    <x:xf numFmtId="0" fontId="3" fillId="0" borderId="12" xfId="0" applyNumberFormat="1" applyFont="1" applyFill="1" applyBorder="1" applyAlignment="1">
      <x:alignment wrapText="1"/>
    </x:xf>
    <x:xf numFmtId="0" fontId="3" fillId="0" borderId="13" xfId="0" applyNumberFormat="1" applyFont="1" applyFill="1" applyBorder="1" applyAlignment="1">
      <x:alignment wrapText="1"/>
    </x:xf>
    <x:xf numFmtId="0" fontId="3" fillId="0" borderId="14" xfId="0" applyNumberFormat="1" applyFont="1" applyFill="1" applyBorder="1" applyAlignment="1">
      <x:alignment wrapText="1"/>
    </x:xf>
    <x:xf numFmtId="0" fontId="3" fillId="0" borderId="15" xfId="0" applyNumberFormat="1" applyFont="1" applyFill="1" applyBorder="1" applyAlignment="1">
      <x:alignment wrapText="1"/>
    </x:xf>
    <x:xf numFmtId="0" fontId="3" fillId="0" borderId="16" xfId="0" applyNumberFormat="1" applyFont="1" applyFill="1" applyBorder="1" applyAlignment="1">
      <x:alignment wrapText="1"/>
    </x:xf>
    <x:xf numFmtId="0" fontId="3" fillId="0" borderId="17" xfId="0" applyNumberFormat="1" applyFont="1" applyFill="1" applyBorder="1" applyAlignment="1">
      <x:alignment wrapText="1"/>
    </x:xf>
    <x:xf numFmtId="0" fontId="3" fillId="0" borderId="18" xfId="0" applyNumberFormat="1" applyFont="1" applyFill="1" applyBorder="1" applyAlignment="1">
      <x:alignment wrapText="1"/>
    </x:xf>
    <x:xf numFmtId="0" fontId="3" fillId="0" borderId="10" xfId="0" applyNumberFormat="1" applyFont="1" applyFill="1" applyBorder="1" applyAlignment="1">
      <x:alignment vertical="center" wrapText="1"/>
    </x:xf>
    <x:xf numFmtId="0" fontId="3" fillId="0" borderId="11" xfId="0" applyNumberFormat="1" applyFont="1" applyFill="1" applyBorder="1" applyAlignment="1">
      <x:alignment vertical="center" wrapText="1"/>
    </x:xf>
    <x:xf numFmtId="0" fontId="3" fillId="0" borderId="12" xfId="0" applyNumberFormat="1" applyFont="1" applyFill="1" applyBorder="1" applyAlignment="1">
      <x:alignment vertical="center" wrapText="1"/>
    </x:xf>
    <x:xf numFmtId="0" fontId="3" fillId="0" borderId="13" xfId="0" applyNumberFormat="1" applyFont="1" applyFill="1" applyBorder="1" applyAlignment="1">
      <x:alignment vertical="center" wrapText="1"/>
    </x:xf>
    <x:xf numFmtId="0" fontId="3" fillId="0" borderId="14" xfId="0" applyNumberFormat="1" applyFont="1" applyFill="1" applyBorder="1" applyAlignment="1">
      <x:alignment vertical="center" wrapText="1"/>
    </x:xf>
    <x:xf numFmtId="0" fontId="3" fillId="0" borderId="15" xfId="0" applyNumberFormat="1" applyFont="1" applyFill="1" applyBorder="1" applyAlignment="1">
      <x:alignment vertical="center" wrapText="1"/>
    </x:xf>
    <x:xf numFmtId="0" fontId="3" fillId="0" borderId="16" xfId="0" applyNumberFormat="1" applyFont="1" applyFill="1" applyBorder="1" applyAlignment="1">
      <x:alignment vertical="center" wrapText="1"/>
    </x:xf>
    <x:xf numFmtId="0" fontId="3" fillId="0" borderId="17" xfId="0" applyNumberFormat="1" applyFont="1" applyFill="1" applyBorder="1" applyAlignment="1">
      <x:alignment vertical="center" wrapText="1"/>
    </x:xf>
    <x:xf numFmtId="0" fontId="3" fillId="0" borderId="18" xfId="0" applyNumberFormat="1" applyFont="1" applyFill="1" applyBorder="1" applyAlignment="1">
      <x:alignment vertical="center" wrapText="1"/>
    </x:xf>
    <x:xf numFmtId="0" fontId="11" fillId="0" borderId="0" xfId="0" applyNumberFormat="1" applyFont="1" applyFill="1" applyBorder="1"/>
    <x:xf numFmtId="0" fontId="11" fillId="0" borderId="0" xfId="0" applyNumberFormat="1" applyFont="1" applyFill="1" applyBorder="1" applyAlignment="1">
      <x:alignment wrapText="1"/>
    </x:xf>
    <x:xf numFmtId="0" fontId="11" fillId="0" borderId="0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b4fba15e16544d1" /><Relationship Type="http://schemas.openxmlformats.org/officeDocument/2006/relationships/theme" Target="/xl/theme/theme1.xml" Id="Rf03eb5dfe5714009" /><Relationship Type="http://schemas.openxmlformats.org/officeDocument/2006/relationships/sharedStrings" Target="/xl/sharedStrings.xml" Id="R2c8d839115ae4749" /><Relationship Type="http://schemas.openxmlformats.org/officeDocument/2006/relationships/worksheet" Target="/xl/worksheets/sheet1.xml" Id="R7aff8f1241e4466b" /><Relationship Type="http://schemas.openxmlformats.org/officeDocument/2006/relationships/worksheet" Target="/xl/worksheets/sheet2.xml" Id="Rf0f1b9c1eef04c11" /><Relationship Type="http://schemas.openxmlformats.org/officeDocument/2006/relationships/worksheet" Target="/xl/worksheets/sheet3.xml" Id="Rc52d52f7d1834ad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6" hidden="0" customWidth="1"/>
    <x:col min="2" max="2" width="14" hidden="0" customWidth="1"/>
    <x:col min="3" max="3" width="30" hidden="0" customWidth="1"/>
    <x:col min="4" max="4" width="44" hidden="0" customWidth="1"/>
    <x:col min="5" max="5" width="10" hidden="0" customWidth="1"/>
    <x:col min="6" max="6" width="9" hidden="0" customWidth="1"/>
    <x:col min="7" max="7" width="13" hidden="0" customWidth="1"/>
    <x:col min="8" max="8" width="9" hidden="0" customWidth="1"/>
    <x:col min="9" max="9" width="15" hidden="0" customWidth="1"/>
  </x:cols>
  <x:sheetData>
    <x:row r="1" ht="34" customHeight="1">
      <x:c r="A1" s="4" t="str">
        <x:v>青云智算平台报价单</x:v>
      </x:c>
      <x:c r="B1" s="4" t="str">
        <x:v>青云智算平台报价单</x:v>
      </x:c>
      <x:c r="C1" s="4" t="str">
        <x:v>青云智算平台报价单</x:v>
      </x:c>
      <x:c r="D1" s="4" t="str">
        <x:v>青云智算平台报价单</x:v>
      </x:c>
      <x:c r="E1" s="4" t="str">
        <x:v>青云智算平台报价单</x:v>
      </x:c>
      <x:c r="F1" s="4" t="str">
        <x:v>青云智算平台报价单</x:v>
      </x:c>
      <x:c r="G1" s="4" t="str">
        <x:v>青云智算平台报价单</x:v>
      </x:c>
      <x:c r="H1" s="4" t="str">
        <x:v>青云智算平台报价单</x:v>
      </x:c>
      <x:c r="I1" s="4" t="str">
        <x:v>青云智算平台报价单</x:v>
      </x:c>
    </x:row>
    <x:row r="2" ht="22" customHeight="1">
      <x:c r="A2" s="8" t="str">
        <x:v>QingCloud AI 智算平台 · AI 算力云服务报价（模板）</x:v>
      </x:c>
      <x:c r="B2" s="8" t="str">
        <x:v>QingCloud AI 智算平台 · AI 算力云服务报价（模板）</x:v>
      </x:c>
      <x:c r="C2" s="8" t="str">
        <x:v>QingCloud AI 智算平台 · AI 算力云服务报价（模板）</x:v>
      </x:c>
      <x:c r="D2" s="8" t="str">
        <x:v>QingCloud AI 智算平台 · AI 算力云服务报价（模板）</x:v>
      </x:c>
      <x:c r="E2" s="8" t="str">
        <x:v>QingCloud AI 智算平台 · AI 算力云服务报价（模板）</x:v>
      </x:c>
      <x:c r="F2" s="8" t="str">
        <x:v>QingCloud AI 智算平台 · AI 算力云服务报价（模板）</x:v>
      </x:c>
      <x:c r="G2" s="8" t="str">
        <x:v>QingCloud AI 智算平台 · AI 算力云服务报价（模板）</x:v>
      </x:c>
      <x:c r="H2" s="8" t="str">
        <x:v>QingCloud AI 智算平台 · AI 算力云服务报价（模板）</x:v>
      </x:c>
      <x:c r="I2" s="8" t="str">
        <x:v>QingCloud AI 智算平台 · AI 算力云服务报价（模板）</x:v>
      </x:c>
    </x:row>
    <x:row r="4" ht="22" customHeight="1">
      <x:c r="A4" s="11" t="str">
        <x:v>报价编号</x:v>
      </x:c>
      <x:c r="B4" s="10" t="str">
        <x:v>QZ-2026-001（示例）</x:v>
      </x:c>
      <x:c r="C4" s="11" t="str">
        <x:v>报价日期</x:v>
      </x:c>
      <x:c r="D4" s="12" t="n">
        <x:v>46255.00463899306</x:v>
      </x:c>
      <x:c r="E4" s="11" t="str">
        <x:v>有效期至</x:v>
      </x:c>
      <x:c r="F4" s="12" t="n">
        <x:v>46285.00463899306</x:v>
      </x:c>
      <x:c r="G4" s="11" t="str">
        <x:v>币种</x:v>
      </x:c>
      <x:c r="H4" s="10" t="str">
        <x:v>CNY 人民币</x:v>
      </x:c>
    </x:row>
    <x:row r="6" ht="20" customHeight="1">
      <x:c r="A6" s="15" t="str">
        <x:v>客户信息</x:v>
      </x:c>
      <x:c r="B6" s="15" t="str">
        <x:v>客户信息</x:v>
      </x:c>
      <x:c r="C6" s="15" t="str">
        <x:v>客户信息</x:v>
      </x:c>
      <x:c r="D6" s="15" t="str">
        <x:v>客户信息</x:v>
      </x:c>
      <x:c r="E6" s="15" t="str">
        <x:v>客户信息</x:v>
      </x:c>
      <x:c r="F6" s="15" t="str">
        <x:v>客户信息</x:v>
      </x:c>
      <x:c r="G6" s="15" t="str">
        <x:v>客户信息</x:v>
      </x:c>
      <x:c r="H6" s="15" t="str">
        <x:v>客户信息</x:v>
      </x:c>
      <x:c r="I6" s="15" t="str">
        <x:v>客户信息</x:v>
      </x:c>
    </x:row>
    <x:row r="7" ht="20" customHeight="1">
      <x:c r="A7" s="18" t="str">
        <x:v>客户名称</x:v>
      </x:c>
      <x:c r="B7" s="17" t="str"/>
      <x:c r="C7" s="17" t="str"/>
      <x:c r="D7" s="17" t="str"/>
      <x:c r="E7" s="18" t="str">
        <x:v>行业</x:v>
      </x:c>
      <x:c r="F7" s="17" t="str"/>
      <x:c r="G7" s="17" t="str"/>
      <x:c r="H7" s="17" t="str"/>
      <x:c r="I7" s="17" t="str"/>
    </x:row>
    <x:row r="8" ht="20" customHeight="1">
      <x:c r="A8" s="18" t="str">
        <x:v>联系人</x:v>
      </x:c>
      <x:c r="B8" s="17" t="str"/>
      <x:c r="C8" s="17" t="str"/>
      <x:c r="D8" s="18" t="str">
        <x:v>电话</x:v>
      </x:c>
      <x:c r="E8" s="17" t="str"/>
      <x:c r="F8" s="17" t="str"/>
      <x:c r="G8" s="18" t="str">
        <x:v>邮箱</x:v>
      </x:c>
      <x:c r="H8" s="17" t="str"/>
      <x:c r="I8" s="17" t="str"/>
    </x:row>
    <x:row r="9" ht="20" customHeight="1">
      <x:c r="A9" s="18" t="str">
        <x:v>客户地址</x:v>
      </x:c>
      <x:c r="B9" s="17" t="str"/>
      <x:c r="C9" s="17" t="str"/>
      <x:c r="D9" s="17" t="str"/>
      <x:c r="E9" s="17" t="str"/>
      <x:c r="F9" s="17" t="str"/>
      <x:c r="G9" s="17" t="str"/>
      <x:c r="H9" s="17" t="str"/>
      <x:c r="I9" s="17" t="str"/>
    </x:row>
    <x:row r="10" ht="30" customHeight="1">
      <x:c r="A10" s="18" t="str">
        <x:v>报价说明</x:v>
      </x:c>
      <x:c r="B10" s="17" t="str">
        <x:v>本报价包含平台软件、算力资源、存储与网络服务；最终以商务确认为准。</x:v>
      </x:c>
      <x:c r="C10" s="17" t="str"/>
      <x:c r="D10" s="17" t="str"/>
      <x:c r="E10" s="17" t="str"/>
      <x:c r="F10" s="17" t="str"/>
      <x:c r="G10" s="17" t="str"/>
      <x:c r="H10" s="17" t="str"/>
      <x:c r="I10" s="17" t="str"/>
    </x:row>
    <x:row r="12" ht="22" customHeight="1">
      <x:c r="A12" s="32" t="str">
        <x:v>序号</x:v>
      </x:c>
      <x:c r="B12" s="33" t="str">
        <x:v>类别</x:v>
      </x:c>
      <x:c r="C12" s="33" t="str">
        <x:v>产品 / 服务</x:v>
      </x:c>
      <x:c r="D12" s="33" t="str">
        <x:v>规格说明</x:v>
      </x:c>
      <x:c r="E12" s="33" t="str">
        <x:v>计费单位</x:v>
      </x:c>
      <x:c r="F12" s="33" t="str">
        <x:v>数量</x:v>
      </x:c>
      <x:c r="G12" s="33" t="str">
        <x:v>单价(元)</x:v>
      </x:c>
      <x:c r="H12" s="33" t="str">
        <x:v>折扣</x:v>
      </x:c>
      <x:c r="I12" s="34" t="str">
        <x:v>小计(元)</x:v>
      </x:c>
    </x:row>
    <x:row r="13" ht="26" customHeight="1">
      <x:c r="A13" s="80" t="n">
        <x:v>1</x:v>
      </x:c>
      <x:c r="B13" s="81" t="str">
        <x:v>算力云服务</x:v>
      </x:c>
      <x:c r="C13" s="82" t="str">
        <x:v>AI算力调度服务（示例）</x:v>
      </x:c>
      <x:c r="D13" s="83" t="str">
        <x:v>含 AI 开发与训练平台、算力调度管理、数据与存储平台、共享 500Mbps 公网</x:v>
      </x:c>
      <x:c r="E13" s="81" t="str">
        <x:v>套·月</x:v>
      </x:c>
      <x:c r="F13" s="84" t="n">
        <x:v>1</x:v>
      </x:c>
      <x:c r="G13" s="85" t="n">
        <x:v>73000</x:v>
      </x:c>
      <x:c r="H13" s="86" t="n">
        <x:v>1</x:v>
      </x:c>
      <x:c r="I13" s="87" t="n">
        <x:f>IF(F13="","",ROUND(F13*G13*H13,2))</x:f>
        <x:v>73000</x:v>
      </x:c>
    </x:row>
    <x:row r="14" ht="26" customHeight="1">
      <x:c r="A14" s="88" t="n">
        <x:v>2</x:v>
      </x:c>
      <x:c r="B14" s="89" t="str">
        <x:v>算力资源</x:v>
      </x:c>
      <x:c r="C14" s="90" t="str">
        <x:v>H100 NVLink 80G ×1 包月（示例）</x:v>
      </x:c>
      <x:c r="D14" s="91" t="str">
        <x:v>intel 20核 200G / 系统盘 50GB / 包月计费</x:v>
      </x:c>
      <x:c r="E14" s="89" t="str">
        <x:v>月</x:v>
      </x:c>
      <x:c r="F14" s="92" t="n">
        <x:v>1</x:v>
      </x:c>
      <x:c r="G14" s="93" t="n">
        <x:v>9288</x:v>
      </x:c>
      <x:c r="H14" s="94" t="n">
        <x:v>1</x:v>
      </x:c>
      <x:c r="I14" s="95" t="n">
        <x:f>IF(F14="","",ROUND(F14*G14*H14,2))</x:f>
        <x:v>9288</x:v>
      </x:c>
    </x:row>
    <x:row r="15" ht="26" customHeight="1">
      <x:c r="A15" s="88" t="n">
        <x:v>3</x:v>
      </x:c>
      <x:c r="B15" s="89" t="str">
        <x:v>算力资源</x:v>
      </x:c>
      <x:c r="C15" s="90" t="str">
        <x:v>4090D 24G ×4 按需（示例）</x:v>
      </x:c>
      <x:c r="D15" s="91" t="str">
        <x:v>intel 24核 112G / 系统盘 50GB / 按需计费</x:v>
      </x:c>
      <x:c r="E15" s="89" t="str">
        <x:v>时</x:v>
      </x:c>
      <x:c r="F15" s="92" t="n">
        <x:v>0</x:v>
      </x:c>
      <x:c r="G15" s="93" t="n">
        <x:v>7.16</x:v>
      </x:c>
      <x:c r="H15" s="94" t="n">
        <x:v>1</x:v>
      </x:c>
      <x:c r="I15" s="95" t="str">
        <x:f>IF(F15="","",ROUND(F15*G15*H15,2))</x:f>
      </x:c>
    </x:row>
    <x:row r="16" ht="26" customHeight="1">
      <x:c r="A16" s="88" t="n">
        <x:v>4</x:v>
      </x:c>
      <x:c r="B16" s="89" t="str">
        <x:v>存储</x:v>
      </x:c>
      <x:c r="C16" s="90" t="str">
        <x:v>AI 数据集与存储服务（示例）</x:v>
      </x:c>
      <x:c r="D16" s="91" t="str">
        <x:v>高性能并行读写存储，T·小时 计费，最多 70T</x:v>
      </x:c>
      <x:c r="E16" s="89" t="str">
        <x:v>T·小时</x:v>
      </x:c>
      <x:c r="F16" s="92" t="n">
        <x:v>0</x:v>
      </x:c>
      <x:c r="G16" s="93" t="n">
        <x:v>1.9076</x:v>
      </x:c>
      <x:c r="H16" s="94" t="n">
        <x:v>1</x:v>
      </x:c>
      <x:c r="I16" s="95" t="str">
        <x:f>IF(F16="","",ROUND(F16*G16*H16,2))</x:f>
      </x:c>
    </x:row>
    <x:row r="17" ht="26" customHeight="1">
      <x:c r="A17" s="88" t="n">
        <x:v>5</x:v>
      </x:c>
      <x:c r="B17" s="89" t="str">
        <x:v>网络</x:v>
      </x:c>
      <x:c r="C17" s="90" t="str">
        <x:v>公网服务（示例）</x:v>
      </x:c>
      <x:c r="D17" s="91" t="str">
        <x:v>共享 500Mbps 公网带宽</x:v>
      </x:c>
      <x:c r="E17" s="89" t="str">
        <x:v>月</x:v>
      </x:c>
      <x:c r="F17" s="92" t="n">
        <x:v>1</x:v>
      </x:c>
      <x:c r="G17" s="93" t="n">
        <x:v>0</x:v>
      </x:c>
      <x:c r="H17" s="94" t="n">
        <x:v>1</x:v>
      </x:c>
      <x:c r="I17" s="95" t="n">
        <x:f>IF(F17="","",ROUND(F17*G17*H17,2))</x:f>
        <x:v>0</x:v>
      </x:c>
    </x:row>
    <x:row r="18" ht="26" customHeight="1">
      <x:c r="A18" s="88" t="n">
        <x:v>6</x:v>
      </x:c>
      <x:c r="B18" s="89" t="str">
        <x:v>平台软件</x:v>
      </x:c>
      <x:c r="C18" s="90" t="str">
        <x:v>AI 智算平台软件授权（示例）</x:v>
      </x:c>
      <x:c r="D18" s="91" t="str">
        <x:v>管理运维平台 + 运营平台 + 自服务平台</x:v>
      </x:c>
      <x:c r="E18" s="89" t="str">
        <x:v>套</x:v>
      </x:c>
      <x:c r="F18" s="92" t="n">
        <x:v>0</x:v>
      </x:c>
      <x:c r="G18" s="93" t="n">
        <x:v>0</x:v>
      </x:c>
      <x:c r="H18" s="94" t="n">
        <x:v>1</x:v>
      </x:c>
      <x:c r="I18" s="95" t="str">
        <x:f>IF(F18="","",ROUND(F18*G18*H18,2))</x:f>
      </x:c>
    </x:row>
    <x:row r="19" ht="26" customHeight="1">
      <x:c r="A19" s="56"/>
      <x:c r="B19" s="57"/>
      <x:c r="C19" s="63"/>
      <x:c r="D19" s="66"/>
      <x:c r="E19" s="57"/>
      <x:c r="F19" s="75"/>
      <x:c r="G19" s="70"/>
      <x:c r="H19" s="78"/>
      <x:c r="I19" s="71" t="str">
        <x:f>IF(F19="","",ROUND(F19*G19*H19,2))</x:f>
      </x:c>
    </x:row>
    <x:row r="20" ht="26" customHeight="1">
      <x:c r="A20" s="56"/>
      <x:c r="B20" s="57"/>
      <x:c r="C20" s="63"/>
      <x:c r="D20" s="66"/>
      <x:c r="E20" s="57"/>
      <x:c r="F20" s="75"/>
      <x:c r="G20" s="70"/>
      <x:c r="H20" s="78"/>
      <x:c r="I20" s="71" t="str">
        <x:f>IF(F20="","",ROUND(F20*G20*H20,2))</x:f>
      </x:c>
    </x:row>
    <x:row r="21" ht="26" customHeight="1">
      <x:c r="A21" s="56"/>
      <x:c r="B21" s="57"/>
      <x:c r="C21" s="63"/>
      <x:c r="D21" s="66"/>
      <x:c r="E21" s="57"/>
      <x:c r="F21" s="75"/>
      <x:c r="G21" s="70"/>
      <x:c r="H21" s="78"/>
      <x:c r="I21" s="71" t="str">
        <x:f>IF(F21="","",ROUND(F21*G21*H21,2))</x:f>
      </x:c>
    </x:row>
    <x:row r="22" ht="26" customHeight="1">
      <x:c r="A22" s="56"/>
      <x:c r="B22" s="57"/>
      <x:c r="C22" s="63"/>
      <x:c r="D22" s="66"/>
      <x:c r="E22" s="57"/>
      <x:c r="F22" s="75"/>
      <x:c r="G22" s="70"/>
      <x:c r="H22" s="78"/>
      <x:c r="I22" s="71" t="str">
        <x:f>IF(F22="","",ROUND(F22*G22*H22,2))</x:f>
      </x:c>
    </x:row>
    <x:row r="23" ht="26" customHeight="1">
      <x:c r="A23" s="56"/>
      <x:c r="B23" s="57"/>
      <x:c r="C23" s="63"/>
      <x:c r="D23" s="66"/>
      <x:c r="E23" s="57"/>
      <x:c r="F23" s="75"/>
      <x:c r="G23" s="70"/>
      <x:c r="H23" s="78"/>
      <x:c r="I23" s="71" t="str">
        <x:f>IF(F23="","",ROUND(F23*G23*H23,2))</x:f>
      </x:c>
    </x:row>
    <x:row r="24" ht="26" customHeight="1">
      <x:c r="A24" s="59"/>
      <x:c r="B24" s="60"/>
      <x:c r="C24" s="64"/>
      <x:c r="D24" s="67"/>
      <x:c r="E24" s="60"/>
      <x:c r="F24" s="76"/>
      <x:c r="G24" s="72"/>
      <x:c r="H24" s="79"/>
      <x:c r="I24" s="73" t="str">
        <x:f>IF(F24="","",ROUND(F24*G24*H24,2))</x:f>
      </x:c>
    </x:row>
    <x:row r="25" ht="18" customHeight="1">
      <x:c r="A25" s="98" t="str">
        <x:v>注：第 13-18 行为示例行，正式报价请替换为实际产品与价格；空白行可直接填写，小计与合计自动计算。</x:v>
      </x:c>
      <x:c r="B25" s="98" t="str">
        <x:v>注：第 13-18 行为示例行，正式报价请替换为实际产品与价格；空白行可直接填写，小计与合计自动计算。</x:v>
      </x:c>
      <x:c r="C25" s="98" t="str">
        <x:v>注：第 13-18 行为示例行，正式报价请替换为实际产品与价格；空白行可直接填写，小计与合计自动计算。</x:v>
      </x:c>
      <x:c r="D25" s="98" t="str">
        <x:v>注：第 13-18 行为示例行，正式报价请替换为实际产品与价格；空白行可直接填写，小计与合计自动计算。</x:v>
      </x:c>
      <x:c r="E25" s="98" t="str">
        <x:v>注：第 13-18 行为示例行，正式报价请替换为实际产品与价格；空白行可直接填写，小计与合计自动计算。</x:v>
      </x:c>
      <x:c r="F25" s="98" t="str">
        <x:v>注：第 13-18 行为示例行，正式报价请替换为实际产品与价格；空白行可直接填写，小计与合计自动计算。</x:v>
      </x:c>
      <x:c r="G25" s="98" t="str">
        <x:v>注：第 13-18 行为示例行，正式报价请替换为实际产品与价格；空白行可直接填写，小计与合计自动计算。</x:v>
      </x:c>
      <x:c r="H25" s="98" t="str">
        <x:v>注：第 13-18 行为示例行，正式报价请替换为实际产品与价格；空白行可直接填写，小计与合计自动计算。</x:v>
      </x:c>
      <x:c r="I25" s="98" t="str">
        <x:v>注：第 13-18 行为示例行，正式报价请替换为实际产品与价格；空白行可直接填写，小计与合计自动计算。</x:v>
      </x:c>
    </x:row>
    <x:row r="27" ht="24" customHeight="1">
      <x:c r="A27" s="99" t="str">
        <x:v>合计（不含税）</x:v>
      </x:c>
      <x:c r="B27" s="10" t="str">
        <x:v>合计（不含税）</x:v>
      </x:c>
      <x:c r="C27" s="10" t="str">
        <x:v>合计（不含税）</x:v>
      </x:c>
      <x:c r="D27" s="10" t="str">
        <x:v>合计（不含税）</x:v>
      </x:c>
      <x:c r="E27" s="10" t="str">
        <x:v>合计（不含税）</x:v>
      </x:c>
      <x:c r="F27" s="10"/>
      <x:c r="G27" s="103" t="n">
        <x:f>SUM(I13:I24)</x:f>
        <x:v>82288</x:v>
      </x:c>
      <x:c r="H27" s="104"/>
      <x:c r="I27" s="105"/>
    </x:row>
    <x:row r="28" ht="24" customHeight="1">
      <x:c r="A28" s="99" t="str">
        <x:v>增值税税率（可修改）</x:v>
      </x:c>
      <x:c r="B28" s="10" t="str">
        <x:v>增值税税率（可修改）</x:v>
      </x:c>
      <x:c r="C28" s="10" t="str">
        <x:v>增值税税率（可修改）</x:v>
      </x:c>
      <x:c r="D28" s="10" t="str">
        <x:v>增值税税率（可修改）</x:v>
      </x:c>
      <x:c r="E28" s="10" t="str">
        <x:v>增值税税率（可修改）</x:v>
      </x:c>
      <x:c r="F28" s="101" t="n">
        <x:v>0.06</x:v>
      </x:c>
      <x:c r="G28" s="103" t="n">
        <x:f>ROUND(G27*F28,2)</x:f>
        <x:v>4937.28</x:v>
      </x:c>
      <x:c r="H28" s="104"/>
      <x:c r="I28" s="105"/>
    </x:row>
    <x:row r="29" ht="24" customHeight="1">
      <x:c r="A29" s="99" t="str">
        <x:v>含税总计</x:v>
      </x:c>
      <x:c r="B29" s="10" t="str">
        <x:v>含税总计</x:v>
      </x:c>
      <x:c r="C29" s="10" t="str">
        <x:v>含税总计</x:v>
      </x:c>
      <x:c r="D29" s="10" t="str">
        <x:v>含税总计</x:v>
      </x:c>
      <x:c r="E29" s="10" t="str">
        <x:v>含税总计</x:v>
      </x:c>
      <x:c r="F29" s="10"/>
      <x:c r="G29" s="108" t="n">
        <x:f>G27+G28</x:f>
        <x:v>87225.28</x:v>
      </x:c>
      <x:c r="H29" s="109"/>
      <x:c r="I29" s="110"/>
    </x:row>
    <x:row r="30" ht="24" customHeight="1">
      <x:c r="A30" s="99" t="str">
        <x:v>金额大写</x:v>
      </x:c>
      <x:c r="B30" s="10" t="str">
        <x:v>金额大写</x:v>
      </x:c>
      <x:c r="C30" s="10" t="str">
        <x:v>金额大写</x:v>
      </x:c>
      <x:c r="D30" s="10" t="str">
        <x:v>金额大写</x:v>
      </x:c>
      <x:c r="E30" s="10" t="str">
        <x:v>金额大写</x:v>
      </x:c>
      <x:c r="F30" s="10"/>
      <x:c r="G30" s="111" t="str">
        <x:v>（建议在正式文档中填写大写金额）</x:v>
      </x:c>
      <x:c r="H30" s="111"/>
      <x:c r="I30" s="111"/>
    </x:row>
    <x:row r="32" ht="20" customHeight="1">
      <x:c r="A32" s="15" t="str">
        <x:v>备注与商务条款</x:v>
      </x:c>
      <x:c r="B32" s="15" t="str">
        <x:v>备注与商务条款</x:v>
      </x:c>
      <x:c r="C32" s="15" t="str">
        <x:v>备注与商务条款</x:v>
      </x:c>
      <x:c r="D32" s="15" t="str">
        <x:v>备注与商务条款</x:v>
      </x:c>
      <x:c r="E32" s="15" t="str">
        <x:v>备注与商务条款</x:v>
      </x:c>
      <x:c r="F32" s="15" t="str">
        <x:v>备注与商务条款</x:v>
      </x:c>
      <x:c r="G32" s="15" t="str">
        <x:v>备注与商务条款</x:v>
      </x:c>
      <x:c r="H32" s="15" t="str">
        <x:v>备注与商务条款</x:v>
      </x:c>
      <x:c r="I32" s="15" t="str">
        <x:v>备注与商务条款</x:v>
      </x:c>
    </x:row>
    <x:row r="33" ht="18" customHeight="1">
      <x:c r="A33" s="114" t="str">
        <x:v>付款方式（示例）：合同签署后预付首月服务费，剩余周期按月于每周期开始前 5 日支付；可修改。</x:v>
      </x:c>
      <x:c r="B33" s="114" t="str">
        <x:v>付款方式（示例）：合同签署后预付首月服务费，剩余周期按月于每周期开始前 5 日支付；可修改。</x:v>
      </x:c>
      <x:c r="C33" s="114" t="str">
        <x:v>付款方式（示例）：合同签署后预付首月服务费，剩余周期按月于每周期开始前 5 日支付；可修改。</x:v>
      </x:c>
      <x:c r="D33" s="114" t="str">
        <x:v>付款方式（示例）：合同签署后预付首月服务费，剩余周期按月于每周期开始前 5 日支付；可修改。</x:v>
      </x:c>
      <x:c r="E33" s="114" t="str">
        <x:v>付款方式（示例）：合同签署后预付首月服务费，剩余周期按月于每周期开始前 5 日支付；可修改。</x:v>
      </x:c>
      <x:c r="F33" s="114" t="str">
        <x:v>付款方式（示例）：合同签署后预付首月服务费，剩余周期按月于每周期开始前 5 日支付；可修改。</x:v>
      </x:c>
      <x:c r="G33" s="114" t="str">
        <x:v>付款方式（示例）：合同签署后预付首月服务费，剩余周期按月于每周期开始前 5 日支付；可修改。</x:v>
      </x:c>
      <x:c r="H33" s="114" t="str">
        <x:v>付款方式（示例）：合同签署后预付首月服务费，剩余周期按月于每周期开始前 5 日支付；可修改。</x:v>
      </x:c>
      <x:c r="I33" s="114" t="str">
        <x:v>付款方式（示例）：合同签署后预付首月服务费，剩余周期按月于每周期开始前 5 日支付；可修改。</x:v>
      </x:c>
    </x:row>
    <x:row r="34" ht="18" customHeight="1">
      <x:c r="A34" s="114" t="str">
        <x:v>发票（示例）：增值税专用发票，按月开具，发票明细与采购明细一致；可修改。</x:v>
      </x:c>
      <x:c r="B34" s="114" t="str">
        <x:v>发票（示例）：增值税专用发票，按月开具，发票明细与采购明细一致；可修改。</x:v>
      </x:c>
      <x:c r="C34" s="114" t="str">
        <x:v>发票（示例）：增值税专用发票，按月开具，发票明细与采购明细一致；可修改。</x:v>
      </x:c>
      <x:c r="D34" s="114" t="str">
        <x:v>发票（示例）：增值税专用发票，按月开具，发票明细与采购明细一致；可修改。</x:v>
      </x:c>
      <x:c r="E34" s="114" t="str">
        <x:v>发票（示例）：增值税专用发票，按月开具，发票明细与采购明细一致；可修改。</x:v>
      </x:c>
      <x:c r="F34" s="114" t="str">
        <x:v>发票（示例）：增值税专用发票，按月开具，发票明细与采购明细一致；可修改。</x:v>
      </x:c>
      <x:c r="G34" s="114" t="str">
        <x:v>发票（示例）：增值税专用发票，按月开具，发票明细与采购明细一致；可修改。</x:v>
      </x:c>
      <x:c r="H34" s="114" t="str">
        <x:v>发票（示例）：增值税专用发票，按月开具，发票明细与采购明细一致；可修改。</x:v>
      </x:c>
      <x:c r="I34" s="114" t="str">
        <x:v>发票（示例）：增值税专用发票，按月开具，发票明细与采购明细一致；可修改。</x:v>
      </x:c>
    </x:row>
    <x:row r="35" ht="18" customHeight="1">
      <x:c r="A35" s="114" t="str">
        <x:v>服务期限（示例）：12 个月起，自平台开通并邮件确认之日起计；可修改。</x:v>
      </x:c>
      <x:c r="B35" s="114" t="str">
        <x:v>服务期限（示例）：12 个月起，自平台开通并邮件确认之日起计；可修改。</x:v>
      </x:c>
      <x:c r="C35" s="114" t="str">
        <x:v>服务期限（示例）：12 个月起，自平台开通并邮件确认之日起计；可修改。</x:v>
      </x:c>
      <x:c r="D35" s="114" t="str">
        <x:v>服务期限（示例）：12 个月起，自平台开通并邮件确认之日起计；可修改。</x:v>
      </x:c>
      <x:c r="E35" s="114" t="str">
        <x:v>服务期限（示例）：12 个月起，自平台开通并邮件确认之日起计；可修改。</x:v>
      </x:c>
      <x:c r="F35" s="114" t="str">
        <x:v>服务期限（示例）：12 个月起，自平台开通并邮件确认之日起计；可修改。</x:v>
      </x:c>
      <x:c r="G35" s="114" t="str">
        <x:v>服务期限（示例）：12 个月起，自平台开通并邮件确认之日起计；可修改。</x:v>
      </x:c>
      <x:c r="H35" s="114" t="str">
        <x:v>服务期限（示例）：12 个月起，自平台开通并邮件确认之日起计；可修改。</x:v>
      </x:c>
      <x:c r="I35" s="114" t="str">
        <x:v>服务期限（示例）：12 个月起，自平台开通并邮件确认之日起计；可修改。</x:v>
      </x:c>
    </x:row>
    <x:row r="36" ht="18" customHeight="1">
      <x:c r="A36" s="114" t="str">
        <x:v>本报价单为模板示例，示例价格仅供参考，正式报价前请与销售/运营确认最终价格、库存与交付条件。</x:v>
      </x:c>
      <x:c r="B36" s="114" t="str">
        <x:v>本报价单为模板示例，示例价格仅供参考，正式报价前请与销售/运营确认最终价格、库存与交付条件。</x:v>
      </x:c>
      <x:c r="C36" s="114" t="str">
        <x:v>本报价单为模板示例，示例价格仅供参考，正式报价前请与销售/运营确认最终价格、库存与交付条件。</x:v>
      </x:c>
      <x:c r="D36" s="114" t="str">
        <x:v>本报价单为模板示例，示例价格仅供参考，正式报价前请与销售/运营确认最终价格、库存与交付条件。</x:v>
      </x:c>
      <x:c r="E36" s="114" t="str">
        <x:v>本报价单为模板示例，示例价格仅供参考，正式报价前请与销售/运营确认最终价格、库存与交付条件。</x:v>
      </x:c>
      <x:c r="F36" s="114" t="str">
        <x:v>本报价单为模板示例，示例价格仅供参考，正式报价前请与销售/运营确认最终价格、库存与交付条件。</x:v>
      </x:c>
      <x:c r="G36" s="114" t="str">
        <x:v>本报价单为模板示例，示例价格仅供参考，正式报价前请与销售/运营确认最终价格、库存与交付条件。</x:v>
      </x:c>
      <x:c r="H36" s="114" t="str">
        <x:v>本报价单为模板示例，示例价格仅供参考，正式报价前请与销售/运营确认最终价格、库存与交付条件。</x:v>
      </x:c>
      <x:c r="I36" s="114" t="str">
        <x:v>本报价单为模板示例，示例价格仅供参考，正式报价前请与销售/运营确认最终价格、库存与交付条件。</x:v>
      </x:c>
    </x:row>
    <x:row r="37" ht="18" customHeight="1">
      <x:c r="A37" s="114" t="str">
        <x:v>价格参考见「价格参考」工作表，数据来源为青云内部 Confluence 资料（2026-08）。</x:v>
      </x:c>
      <x:c r="B37" s="114" t="str">
        <x:v>价格参考见「价格参考」工作表，数据来源为青云内部 Confluence 资料（2026-08）。</x:v>
      </x:c>
      <x:c r="C37" s="114" t="str">
        <x:v>价格参考见「价格参考」工作表，数据来源为青云内部 Confluence 资料（2026-08）。</x:v>
      </x:c>
      <x:c r="D37" s="114" t="str">
        <x:v>价格参考见「价格参考」工作表，数据来源为青云内部 Confluence 资料（2026-08）。</x:v>
      </x:c>
      <x:c r="E37" s="114" t="str">
        <x:v>价格参考见「价格参考」工作表，数据来源为青云内部 Confluence 资料（2026-08）。</x:v>
      </x:c>
      <x:c r="F37" s="114" t="str">
        <x:v>价格参考见「价格参考」工作表，数据来源为青云内部 Confluence 资料（2026-08）。</x:v>
      </x:c>
      <x:c r="G37" s="114" t="str">
        <x:v>价格参考见「价格参考」工作表，数据来源为青云内部 Confluence 资料（2026-08）。</x:v>
      </x:c>
      <x:c r="H37" s="114" t="str">
        <x:v>价格参考见「价格参考」工作表，数据来源为青云内部 Confluence 资料（2026-08）。</x:v>
      </x:c>
      <x:c r="I37" s="114" t="str">
        <x:v>价格参考见「价格参考」工作表，数据来源为青云内部 Confluence 资料（2026-08）。</x:v>
      </x:c>
    </x:row>
  </x:sheetData>
  <x:mergeCells>
    <x:mergeCell ref="A1:I1"/>
    <x:mergeCell ref="A2:I2"/>
    <x:mergeCell ref="A6:I6"/>
    <x:mergeCell ref="B7:D7"/>
    <x:mergeCell ref="F7:I7"/>
    <x:mergeCell ref="B8:C8"/>
    <x:mergeCell ref="E8:F8"/>
    <x:mergeCell ref="H8:I8"/>
    <x:mergeCell ref="B9:I9"/>
    <x:mergeCell ref="B10:I10"/>
    <x:mergeCell ref="A25:I25"/>
    <x:mergeCell ref="A27:E27"/>
    <x:mergeCell ref="G27:I27"/>
    <x:mergeCell ref="A28:E28"/>
    <x:mergeCell ref="G28:I28"/>
    <x:mergeCell ref="A29:E29"/>
    <x:mergeCell ref="G29:I29"/>
    <x:mergeCell ref="A30:E30"/>
    <x:mergeCell ref="G30:I30"/>
    <x:mergeCell ref="A32:I32"/>
    <x:mergeCell ref="A33:I33"/>
    <x:mergeCell ref="A34:I34"/>
    <x:mergeCell ref="A35:I35"/>
    <x:mergeCell ref="A36:I36"/>
    <x:mergeCell ref="A37:I37"/>
  </x:mergeCells>
  <x:dataValidations count="4">
    <x:dataValidation type="list" allowBlank="1" showDropDown="0" sqref="B13:B24">
      <x:formula1>"算力云服务,算力资源,存储,网络,平台软件,实施服务,其他"</x:formula1>
    </x:dataValidation>
    <x:dataValidation type="list" allowBlank="1" showDropDown="0" sqref="E13:E24">
      <x:formula1>"时,月,套·月,T·小时,套,人天,次"</x:formula1>
    </x:dataValidation>
    <x:dataValidation type="whole" sqref="F13:F24">
      <x:formula1>0</x:formula1>
    </x:dataValidation>
    <x:dataValidation type="decimal" operator="between" sqref="H13:H24">
      <x:formula1>0</x:formula1>
      <x:formula2>1</x:formula2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22" hidden="0" customWidth="1"/>
    <x:col min="3" max="3" width="34" hidden="0" customWidth="1"/>
    <x:col min="4" max="4" width="12" hidden="0" customWidth="1"/>
    <x:col min="5" max="5" width="13" hidden="0" customWidth="1"/>
    <x:col min="6" max="6" width="13" hidden="0" customWidth="1"/>
  </x:cols>
  <x:sheetData>
    <x:row r="1" ht="30" customHeight="1">
      <x:c r="A1" s="4" t="str">
        <x:v>青云智算平台 · 价格参考（内部资料）</x:v>
      </x:c>
      <x:c r="B1" s="4" t="str">
        <x:v>青云智算平台 · 价格参考（内部资料）</x:v>
      </x:c>
      <x:c r="C1" s="4" t="str">
        <x:v>青云智算平台 · 价格参考（内部资料）</x:v>
      </x:c>
      <x:c r="D1" s="4" t="str">
        <x:v>青云智算平台 · 价格参考（内部资料）</x:v>
      </x:c>
      <x:c r="E1" s="4" t="str">
        <x:v>青云智算平台 · 价格参考（内部资料）</x:v>
      </x:c>
      <x:c r="F1" s="4" t="str">
        <x:v>青云智算平台 · 价格参考（内部资料）</x:v>
      </x:c>
    </x:row>
    <x:row r="2" ht="26" customHeight="1">
      <x:c r="A2" s="117" t="str">
        <x:v>数据来源：Confluence《青云AI智算解决方案 Sales Kits》《青云 AI 算力云服务》《青云智算AI算力云服务合同》（2026-08 抓取，仅供报价参考）</x:v>
      </x:c>
      <x:c r="B2" s="117" t="str">
        <x:v>数据来源：Confluence《青云AI智算解决方案 Sales Kits》《青云 AI 算力云服务》《青云智算AI算力云服务合同》（2026-08 抓取，仅供报价参考）</x:v>
      </x:c>
      <x:c r="C2" s="117" t="str">
        <x:v>数据来源：Confluence《青云AI智算解决方案 Sales Kits》《青云 AI 算力云服务》《青云智算AI算力云服务合同》（2026-08 抓取，仅供报价参考）</x:v>
      </x:c>
      <x:c r="D2" s="117" t="str">
        <x:v>数据来源：Confluence《青云AI智算解决方案 Sales Kits》《青云 AI 算力云服务》《青云智算AI算力云服务合同》（2026-08 抓取，仅供报价参考）</x:v>
      </x:c>
      <x:c r="E2" s="117" t="str">
        <x:v>数据来源：Confluence《青云AI智算解决方案 Sales Kits》《青云 AI 算力云服务》《青云智算AI算力云服务合同》（2026-08 抓取，仅供报价参考）</x:v>
      </x:c>
      <x:c r="F2" s="117" t="str">
        <x:v>数据来源：Confluence《青云AI智算解决方案 Sales Kits》《青云 AI 算力云服务》《青云智算AI算力云服务合同》（2026-08 抓取，仅供报价参考）</x:v>
      </x:c>
    </x:row>
    <x:row r="4" ht="20" customHeight="1">
      <x:c r="A4" s="15" t="str">
        <x:v>一、AI 算力云服务 · 按需 / 包月价格</x:v>
      </x:c>
      <x:c r="B4" s="15" t="str">
        <x:v>一、AI 算力云服务 · 按需 / 包月价格</x:v>
      </x:c>
      <x:c r="C4" s="15" t="str">
        <x:v>一、AI 算力云服务 · 按需 / 包月价格</x:v>
      </x:c>
      <x:c r="D4" s="15" t="str">
        <x:v>一、AI 算力云服务 · 按需 / 包月价格</x:v>
      </x:c>
      <x:c r="E4" s="15" t="str">
        <x:v>一、AI 算力云服务 · 按需 / 包月价格</x:v>
      </x:c>
      <x:c r="F4" s="15" t="str">
        <x:v>一、AI 算力云服务 · 按需 / 包月价格</x:v>
      </x:c>
    </x:row>
    <x:row r="5" ht="20" customHeight="1">
      <x:c r="A5" s="121" t="str">
        <x:v>产品类型</x:v>
      </x:c>
      <x:c r="B5" s="121" t="str">
        <x:v>CPU 规格</x:v>
      </x:c>
      <x:c r="C5" s="121" t="str">
        <x:v>GPU 规格</x:v>
      </x:c>
      <x:c r="D5" s="121" t="str">
        <x:v>系统盘</x:v>
      </x:c>
      <x:c r="E5" s="121" t="str">
        <x:v>按需(元/时)</x:v>
      </x:c>
      <x:c r="F5" s="121" t="str">
        <x:v>包月(元/月)</x:v>
      </x:c>
    </x:row>
    <x:row r="6" ht="20" customHeight="1">
      <x:c r="A6" s="131" t="str">
        <x:v>4090D</x:v>
      </x:c>
      <x:c r="B6" s="62" t="str">
        <x:v>intel 6核 28G</x:v>
      </x:c>
      <x:c r="C6" s="62" t="str">
        <x:v>NVIDIA 4090D 24G ×1</x:v>
      </x:c>
      <x:c r="D6" s="123" t="str">
        <x:v>50GB</x:v>
      </x:c>
      <x:c r="E6" s="134" t="n">
        <x:v>1.79</x:v>
      </x:c>
      <x:c r="F6" s="135" t="n">
        <x:v>966.6</x:v>
      </x:c>
    </x:row>
    <x:row r="7" ht="20" customHeight="1">
      <x:c r="A7" s="132" t="str">
        <x:v>4090D</x:v>
      </x:c>
      <x:c r="B7" s="63" t="str">
        <x:v>intel 12核 56G</x:v>
      </x:c>
      <x:c r="C7" s="63" t="str">
        <x:v>NVIDIA 4090D 24G ×2</x:v>
      </x:c>
      <x:c r="D7" s="126" t="str">
        <x:v>50GB</x:v>
      </x:c>
      <x:c r="E7" s="136" t="n">
        <x:v>3.58</x:v>
      </x:c>
      <x:c r="F7" s="137" t="n">
        <x:v>1933.2</x:v>
      </x:c>
    </x:row>
    <x:row r="8" ht="20" customHeight="1">
      <x:c r="A8" s="132" t="str">
        <x:v>4090D</x:v>
      </x:c>
      <x:c r="B8" s="63" t="str">
        <x:v>intel 24核 112G</x:v>
      </x:c>
      <x:c r="C8" s="63" t="str">
        <x:v>NVIDIA 4090D 24G ×4</x:v>
      </x:c>
      <x:c r="D8" s="126" t="str">
        <x:v>50GB</x:v>
      </x:c>
      <x:c r="E8" s="136" t="n">
        <x:v>7.16</x:v>
      </x:c>
      <x:c r="F8" s="137" t="n">
        <x:v>3866.4</x:v>
      </x:c>
    </x:row>
    <x:row r="9" ht="20" customHeight="1">
      <x:c r="A9" s="132" t="str">
        <x:v>4090D</x:v>
      </x:c>
      <x:c r="B9" s="63" t="str">
        <x:v>intel 48核 224G</x:v>
      </x:c>
      <x:c r="C9" s="63" t="str">
        <x:v>NVIDIA 4090D 24G ×8</x:v>
      </x:c>
      <x:c r="D9" s="126" t="str">
        <x:v>50GB</x:v>
      </x:c>
      <x:c r="E9" s="136" t="n">
        <x:v>14.32</x:v>
      </x:c>
      <x:c r="F9" s="137" t="n">
        <x:v>7732.8</x:v>
      </x:c>
    </x:row>
    <x:row r="10" ht="20" customHeight="1">
      <x:c r="A10" s="132" t="str">
        <x:v>A100 PCIe 40G</x:v>
      </x:c>
      <x:c r="B10" s="63" t="str">
        <x:v>intel 10核 50G</x:v>
      </x:c>
      <x:c r="C10" s="63" t="str">
        <x:v>NVIDIA A100 PCIe 40GB ×1</x:v>
      </x:c>
      <x:c r="D10" s="126" t="str">
        <x:v>50GB</x:v>
      </x:c>
      <x:c r="E10" s="136" t="n">
        <x:v>3.45</x:v>
      </x:c>
      <x:c r="F10" s="137" t="n">
        <x:v>2111.4</x:v>
      </x:c>
    </x:row>
    <x:row r="11" ht="20" customHeight="1">
      <x:c r="A11" s="132" t="str">
        <x:v>A100 PCIe 40G</x:v>
      </x:c>
      <x:c r="B11" s="63" t="str">
        <x:v>intel 20核 100G</x:v>
      </x:c>
      <x:c r="C11" s="63" t="str">
        <x:v>NVIDIA A100 PCIe 40GB ×2</x:v>
      </x:c>
      <x:c r="D11" s="126" t="str">
        <x:v>50GB</x:v>
      </x:c>
      <x:c r="E11" s="136" t="n">
        <x:v>6.9</x:v>
      </x:c>
      <x:c r="F11" s="137" t="n">
        <x:v>4222.8</x:v>
      </x:c>
    </x:row>
    <x:row r="12" ht="20" customHeight="1">
      <x:c r="A12" s="132" t="str">
        <x:v>A100 PCIe 40G</x:v>
      </x:c>
      <x:c r="B12" s="63" t="str">
        <x:v>intel 40核 200G</x:v>
      </x:c>
      <x:c r="C12" s="63" t="str">
        <x:v>NVIDIA A100 PCIe 40GB ×4</x:v>
      </x:c>
      <x:c r="D12" s="126" t="str">
        <x:v>50GB</x:v>
      </x:c>
      <x:c r="E12" s="136" t="n">
        <x:v>13.8</x:v>
      </x:c>
      <x:c r="F12" s="137" t="n">
        <x:v>8445.6</x:v>
      </x:c>
    </x:row>
    <x:row r="13" ht="20" customHeight="1">
      <x:c r="A13" s="132" t="str">
        <x:v>A100 PCIe 40G</x:v>
      </x:c>
      <x:c r="B13" s="63" t="str">
        <x:v>intel 80核 400G</x:v>
      </x:c>
      <x:c r="C13" s="63" t="str">
        <x:v>NVIDIA A100 PCIe 40GB ×8</x:v>
      </x:c>
      <x:c r="D13" s="126" t="str">
        <x:v>50GB</x:v>
      </x:c>
      <x:c r="E13" s="136" t="n">
        <x:v>27.6</x:v>
      </x:c>
      <x:c r="F13" s="137" t="n">
        <x:v>16891.2</x:v>
      </x:c>
    </x:row>
    <x:row r="14" ht="20" customHeight="1">
      <x:c r="A14" s="132" t="str">
        <x:v>H100 NVLink 80G</x:v>
      </x:c>
      <x:c r="B14" s="63" t="str">
        <x:v>intel 20核 200G</x:v>
      </x:c>
      <x:c r="C14" s="63" t="str">
        <x:v>NVIDIA H100 80GB NVLink ×1</x:v>
      </x:c>
      <x:c r="D14" s="126" t="str">
        <x:v>50GB</x:v>
      </x:c>
      <x:c r="E14" s="136" t="n">
        <x:v>12.9</x:v>
      </x:c>
      <x:c r="F14" s="137" t="n">
        <x:v>9288</x:v>
      </x:c>
    </x:row>
    <x:row r="15" ht="20" customHeight="1">
      <x:c r="A15" s="132" t="str">
        <x:v>H100 NVLink 80G</x:v>
      </x:c>
      <x:c r="B15" s="63" t="str">
        <x:v>intel 40核 400G</x:v>
      </x:c>
      <x:c r="C15" s="63" t="str">
        <x:v>NVIDIA H100 80GB NVLink ×2</x:v>
      </x:c>
      <x:c r="D15" s="126" t="str">
        <x:v>50GB</x:v>
      </x:c>
      <x:c r="E15" s="136" t="n">
        <x:v>25.8</x:v>
      </x:c>
      <x:c r="F15" s="137" t="n">
        <x:v>18576</x:v>
      </x:c>
    </x:row>
    <x:row r="16" ht="20" customHeight="1">
      <x:c r="A16" s="132" t="str">
        <x:v>H100 NVLink 80G</x:v>
      </x:c>
      <x:c r="B16" s="63" t="str">
        <x:v>intel 80核 800G</x:v>
      </x:c>
      <x:c r="C16" s="63" t="str">
        <x:v>NVIDIA H100 80GB NVLink ×4</x:v>
      </x:c>
      <x:c r="D16" s="126" t="str">
        <x:v>50GB</x:v>
      </x:c>
      <x:c r="E16" s="136" t="n">
        <x:v>51.6</x:v>
      </x:c>
      <x:c r="F16" s="137" t="n">
        <x:v>37152</x:v>
      </x:c>
    </x:row>
    <x:row r="17" ht="20" customHeight="1">
      <x:c r="A17" s="133" t="str">
        <x:v>H100 NVLink 80G</x:v>
      </x:c>
      <x:c r="B17" s="64" t="str">
        <x:v>intel 160核 1600G</x:v>
      </x:c>
      <x:c r="C17" s="64" t="str">
        <x:v>NVIDIA H100 80GB NVLink ×8</x:v>
      </x:c>
      <x:c r="D17" s="129" t="str">
        <x:v>50GB</x:v>
      </x:c>
      <x:c r="E17" s="138" t="n">
        <x:v>103.2</x:v>
      </x:c>
      <x:c r="F17" s="139" t="n">
        <x:v>74304</x:v>
      </x:c>
    </x:row>
    <x:row r="18" ht="18" customHeight="1">
      <x:c r="A18" s="140" t="str">
        <x:v>注：以上为参考价，实际以平台 console.coreshub.cn 及商务确认为准。</x:v>
      </x:c>
      <x:c r="B18" s="140" t="str">
        <x:v>注：以上为参考价，实际以平台 console.coreshub.cn 及商务确认为准。</x:v>
      </x:c>
      <x:c r="C18" s="140" t="str">
        <x:v>注：以上为参考价，实际以平台 console.coreshub.cn 及商务确认为准。</x:v>
      </x:c>
      <x:c r="D18" s="140" t="str">
        <x:v>注：以上为参考价，实际以平台 console.coreshub.cn 及商务确认为准。</x:v>
      </x:c>
      <x:c r="E18" s="140" t="str">
        <x:v>注：以上为参考价，实际以平台 console.coreshub.cn 及商务确认为准。</x:v>
      </x:c>
      <x:c r="F18" s="140" t="str">
        <x:v>注：以上为参考价，实际以平台 console.coreshub.cn 及商务确认为准。</x:v>
      </x:c>
    </x:row>
    <x:row r="20" ht="20" customHeight="1">
      <x:c r="A20" s="15" t="str">
        <x:v>二、合同模式参考（《青云智算AI算力云服务合同》示例）</x:v>
      </x:c>
      <x:c r="B20" s="15" t="str">
        <x:v>二、合同模式参考（《青云智算AI算力云服务合同》示例）</x:v>
      </x:c>
      <x:c r="C20" s="15" t="str">
        <x:v>二、合同模式参考（《青云智算AI算力云服务合同》示例）</x:v>
      </x:c>
      <x:c r="D20" s="15" t="str">
        <x:v>二、合同模式参考（《青云智算AI算力云服务合同》示例）</x:v>
      </x:c>
      <x:c r="E20" s="15" t="str">
        <x:v>二、合同模式参考（《青云智算AI算力云服务合同》示例）</x:v>
      </x:c>
      <x:c r="F20" s="15" t="str">
        <x:v>二、合同模式参考（《青云智算AI算力云服务合同》示例）</x:v>
      </x:c>
    </x:row>
    <x:row r="21" ht="20" customHeight="1">
      <x:c r="A21" s="121" t="str">
        <x:v>服务</x:v>
      </x:c>
      <x:c r="B21" s="121" t="str">
        <x:v>说明</x:v>
      </x:c>
      <x:c r="C21" s="121" t="str">
        <x:v>计价单位</x:v>
      </x:c>
      <x:c r="D21" s="121" t="str">
        <x:v>参考价</x:v>
      </x:c>
      <x:c r="E21" s="121" t="str"/>
      <x:c r="F21" s="121" t="str"/>
    </x:row>
    <x:row r="22" ht="30" customHeight="1">
      <x:c r="A22" s="150" t="str">
        <x:v>AI 算力调度服务</x:v>
      </x:c>
      <x:c r="B22" s="151" t="str">
        <x:v>基于 NVIDIA SUPER H800 的算力调度与管理；含 AI 开发与训练平台、数据与存储平台、公网服务、子账号团队管理</x:v>
      </x:c>
      <x:c r="C22" s="151" t="str">
        <x:v>套·月</x:v>
      </x:c>
      <x:c r="D22" s="151" t="str">
        <x:v>73,000 元</x:v>
      </x:c>
      <x:c r="E22" s="151"/>
      <x:c r="F22" s="152"/>
    </x:row>
    <x:row r="23" ht="30" customHeight="1">
      <x:c r="A23" s="153" t="str">
        <x:v>AI 数据集与存储服务</x:v>
      </x:c>
      <x:c r="B23" s="154" t="str">
        <x:v>高性能并行读写存储；用户配额管理与可视化数据集管理</x:v>
      </x:c>
      <x:c r="C23" s="154" t="str">
        <x:v>T·小时</x:v>
      </x:c>
      <x:c r="D23" s="154" t="str">
        <x:v>1.9076 元（最多 70T）</x:v>
      </x:c>
      <x:c r="E23" s="154"/>
      <x:c r="F23" s="155"/>
    </x:row>
    <x:row r="24" ht="30" customHeight="1">
      <x:c r="A24" s="156" t="str">
        <x:v>公网服务</x:v>
      </x:c>
      <x:c r="B24" s="157" t="str">
        <x:v>共享 500Mbps 公网带宽</x:v>
      </x:c>
      <x:c r="C24" s="157" t="str">
        <x:v>—</x:v>
      </x:c>
      <x:c r="D24" s="157" t="str">
        <x:v>免费</x:v>
      </x:c>
      <x:c r="E24" s="157"/>
      <x:c r="F24" s="158"/>
    </x:row>
    <x:row r="27" ht="20" customHeight="1">
      <x:c r="A27" s="15" t="str">
        <x:v>三、整机算力资源参考（区域库存，软硬一体 / 大客户项目用）</x:v>
      </x:c>
      <x:c r="B27" s="15" t="str">
        <x:v>三、整机算力资源参考（区域库存，软硬一体 / 大客户项目用）</x:v>
      </x:c>
      <x:c r="C27" s="15" t="str">
        <x:v>三、整机算力资源参考（区域库存，软硬一体 / 大客户项目用）</x:v>
      </x:c>
      <x:c r="D27" s="15" t="str">
        <x:v>三、整机算力资源参考（区域库存，软硬一体 / 大客户项目用）</x:v>
      </x:c>
      <x:c r="E27" s="15" t="str">
        <x:v>三、整机算力资源参考（区域库存，软硬一体 / 大客户项目用）</x:v>
      </x:c>
      <x:c r="F27" s="15" t="str">
        <x:v>三、整机算力资源参考（区域库存，软硬一体 / 大客户项目用）</x:v>
      </x:c>
    </x:row>
    <x:row r="28" ht="20" customHeight="1">
      <x:c r="A28" s="121" t="str">
        <x:v>GPU 型号</x:v>
      </x:c>
      <x:c r="B28" s="121" t="str">
        <x:v>区域</x:v>
      </x:c>
      <x:c r="C28" s="121" t="str">
        <x:v>数量（台）</x:v>
      </x:c>
    </x:row>
    <x:row r="29" ht="19" customHeight="1">
      <x:c r="A29" s="131" t="str">
        <x:v>4090（8卡整机）</x:v>
      </x:c>
      <x:c r="B29" s="54" t="str">
        <x:v>广东</x:v>
      </x:c>
      <x:c r="C29" s="55" t="n">
        <x:v>250</x:v>
      </x:c>
    </x:row>
    <x:row r="30" ht="19" customHeight="1">
      <x:c r="A30" s="132" t="str">
        <x:v>4090（8卡整机）</x:v>
      </x:c>
      <x:c r="B30" s="57" t="str">
        <x:v>内蒙</x:v>
      </x:c>
      <x:c r="C30" s="58" t="n">
        <x:v>125</x:v>
      </x:c>
    </x:row>
    <x:row r="31" ht="19" customHeight="1">
      <x:c r="A31" s="132" t="str">
        <x:v>4090（8卡整机）</x:v>
      </x:c>
      <x:c r="B31" s="57" t="str">
        <x:v>河南</x:v>
      </x:c>
      <x:c r="C31" s="58" t="n">
        <x:v>300</x:v>
      </x:c>
    </x:row>
    <x:row r="32" ht="19" customHeight="1">
      <x:c r="A32" s="132" t="str">
        <x:v>4090（8卡整机）</x:v>
      </x:c>
      <x:c r="B32" s="57" t="str">
        <x:v>北京</x:v>
      </x:c>
      <x:c r="C32" s="58" t="n">
        <x:v>200</x:v>
      </x:c>
    </x:row>
    <x:row r="33" ht="19" customHeight="1">
      <x:c r="A33" s="132" t="str">
        <x:v>4090（8卡整机）</x:v>
      </x:c>
      <x:c r="B33" s="57" t="str">
        <x:v>湖北</x:v>
      </x:c>
      <x:c r="C33" s="58" t="n">
        <x:v>300</x:v>
      </x:c>
    </x:row>
    <x:row r="34" ht="19" customHeight="1">
      <x:c r="A34" s="132" t="str">
        <x:v>4090D</x:v>
      </x:c>
      <x:c r="B34" s="57" t="str">
        <x:v>新疆</x:v>
      </x:c>
      <x:c r="C34" s="58" t="n">
        <x:v>10</x:v>
      </x:c>
    </x:row>
    <x:row r="35" ht="19" customHeight="1">
      <x:c r="A35" s="132" t="str">
        <x:v>4090D（48G）</x:v>
      </x:c>
      <x:c r="B35" s="57" t="str">
        <x:v>新疆</x:v>
      </x:c>
      <x:c r="C35" s="58" t="str">
        <x:v>—</x:v>
      </x:c>
    </x:row>
    <x:row r="36" ht="19" customHeight="1">
      <x:c r="A36" s="132" t="str">
        <x:v>昇腾910B2（64G / 376 TFLOPS FP16）</x:v>
      </x:c>
      <x:c r="B36" s="57" t="str">
        <x:v>云南</x:v>
      </x:c>
      <x:c r="C36" s="58" t="n">
        <x:v>50</x:v>
      </x:c>
    </x:row>
    <x:row r="37" ht="19" customHeight="1">
      <x:c r="A37" s="132" t="str">
        <x:v>5090</x:v>
      </x:c>
      <x:c r="B37" s="57" t="str">
        <x:v>新疆</x:v>
      </x:c>
      <x:c r="C37" s="58" t="n">
        <x:v>100</x:v>
      </x:c>
    </x:row>
    <x:row r="38" ht="19" customHeight="1">
      <x:c r="A38" s="132" t="str">
        <x:v>A100（40G）</x:v>
      </x:c>
      <x:c r="B38" s="57" t="str">
        <x:v>成都</x:v>
      </x:c>
      <x:c r="C38" s="58" t="n">
        <x:v>43</x:v>
      </x:c>
    </x:row>
    <x:row r="39" ht="19" customHeight="1">
      <x:c r="A39" s="132" t="str">
        <x:v>A100（80G NVLink）</x:v>
      </x:c>
      <x:c r="B39" s="57" t="str">
        <x:v>成都</x:v>
      </x:c>
      <x:c r="C39" s="58" t="n">
        <x:v>18</x:v>
      </x:c>
    </x:row>
    <x:row r="40" ht="19" customHeight="1">
      <x:c r="A40" s="132" t="str">
        <x:v>A800 80G PCIe</x:v>
      </x:c>
      <x:c r="B40" s="57" t="str">
        <x:v>成都</x:v>
      </x:c>
      <x:c r="C40" s="58" t="str">
        <x:v>—</x:v>
      </x:c>
    </x:row>
    <x:row r="41" ht="19" customHeight="1">
      <x:c r="A41" s="132" t="str">
        <x:v>H800（80G）</x:v>
      </x:c>
      <x:c r="B41" s="57" t="str">
        <x:v>成都</x:v>
      </x:c>
      <x:c r="C41" s="58" t="n">
        <x:v>4</x:v>
      </x:c>
    </x:row>
    <x:row r="42" ht="19" customHeight="1">
      <x:c r="A42" s="132" t="str">
        <x:v>H100（80G SXM5）</x:v>
      </x:c>
      <x:c r="B42" s="57" t="str">
        <x:v>安徽</x:v>
      </x:c>
      <x:c r="C42" s="58" t="n">
        <x:v>96</x:v>
      </x:c>
    </x:row>
    <x:row r="43" ht="19" customHeight="1">
      <x:c r="A43" s="132" t="str">
        <x:v>H100（80G SXM5）</x:v>
      </x:c>
      <x:c r="B43" s="57" t="str">
        <x:v>山东</x:v>
      </x:c>
      <x:c r="C43" s="58" t="n">
        <x:v>64</x:v>
      </x:c>
    </x:row>
    <x:row r="44" ht="19" customHeight="1">
      <x:c r="A44" s="133" t="str">
        <x:v>H100（80G SXM5）</x:v>
      </x:c>
      <x:c r="B44" s="60" t="str">
        <x:v>云南</x:v>
      </x:c>
      <x:c r="C44" s="61" t="n">
        <x:v>64</x:v>
      </x:c>
    </x:row>
    <x:row r="45" ht="18" customHeight="1">
      <x:c r="A45" s="140" t="str">
        <x:v>注：库存与售价实时变动，报价前请与销售/运营确认。</x:v>
      </x:c>
      <x:c r="B45" s="140" t="str">
        <x:v>注：库存与售价实时变动，报价前请与销售/运营确认。</x:v>
      </x:c>
      <x:c r="C45" s="140" t="str">
        <x:v>注：库存与售价实时变动，报价前请与销售/运营确认。</x:v>
      </x:c>
      <x:c r="D45" s="140" t="str">
        <x:v>注：库存与售价实时变动，报价前请与销售/运营确认。</x:v>
      </x:c>
      <x:c r="E45" s="140" t="str">
        <x:v>注：库存与售价实时变动，报价前请与销售/运营确认。</x:v>
      </x:c>
      <x:c r="F45" s="140" t="str">
        <x:v>注：库存与售价实时变动，报价前请与销售/运营确认。</x:v>
      </x:c>
    </x:row>
    <x:row r="47" ht="20" customHeight="1">
      <x:c r="A47" s="15" t="str">
        <x:v>四、数据来源（Confluence）</x:v>
      </x:c>
      <x:c r="B47" s="15" t="str">
        <x:v>四、数据来源（Confluence）</x:v>
      </x:c>
      <x:c r="C47" s="15" t="str">
        <x:v>四、数据来源（Confluence）</x:v>
      </x:c>
      <x:c r="D47" s="15" t="str">
        <x:v>四、数据来源（Confluence）</x:v>
      </x:c>
      <x:c r="E47" s="15" t="str">
        <x:v>四、数据来源（Confluence）</x:v>
      </x:c>
      <x:c r="F47" s="15" t="str">
        <x:v>四、数据来源（Confluence）</x:v>
      </x:c>
    </x:row>
    <x:row r="48" ht="16" customHeight="1">
      <x:c r="A48" s="161" t="str">
        <x:v>青云AI智算解决方案 Sales Kits（智算一指禅）: https://cwiki.yunify.com/pages/viewpage.action?pageId=252340897</x:v>
      </x:c>
      <x:c r="B48" s="161" t="str">
        <x:v>青云AI智算解决方案 Sales Kits（智算一指禅）: https://cwiki.yunify.com/pages/viewpage.action?pageId=252340897</x:v>
      </x:c>
      <x:c r="C48" s="161" t="str">
        <x:v>青云AI智算解决方案 Sales Kits（智算一指禅）: https://cwiki.yunify.com/pages/viewpage.action?pageId=252340897</x:v>
      </x:c>
      <x:c r="D48" s="161" t="str">
        <x:v>青云AI智算解决方案 Sales Kits（智算一指禅）: https://cwiki.yunify.com/pages/viewpage.action?pageId=252340897</x:v>
      </x:c>
      <x:c r="E48" s="161" t="str">
        <x:v>青云AI智算解决方案 Sales Kits（智算一指禅）: https://cwiki.yunify.com/pages/viewpage.action?pageId=252340897</x:v>
      </x:c>
      <x:c r="F48" s="161" t="str">
        <x:v>青云AI智算解决方案 Sales Kits（智算一指禅）: https://cwiki.yunify.com/pages/viewpage.action?pageId=252340897</x:v>
      </x:c>
    </x:row>
    <x:row r="49" ht="16" customHeight="1">
      <x:c r="A49" s="161" t="str">
        <x:v>青云 AI 算力云服务: https://cwiki.yunify.com/pages/viewpage.action?pageId=197094162</x:v>
      </x:c>
      <x:c r="B49" s="161" t="str">
        <x:v>青云 AI 算力云服务: https://cwiki.yunify.com/pages/viewpage.action?pageId=197094162</x:v>
      </x:c>
      <x:c r="C49" s="161" t="str">
        <x:v>青云 AI 算力云服务: https://cwiki.yunify.com/pages/viewpage.action?pageId=197094162</x:v>
      </x:c>
      <x:c r="D49" s="161" t="str">
        <x:v>青云 AI 算力云服务: https://cwiki.yunify.com/pages/viewpage.action?pageId=197094162</x:v>
      </x:c>
      <x:c r="E49" s="161" t="str">
        <x:v>青云 AI 算力云服务: https://cwiki.yunify.com/pages/viewpage.action?pageId=197094162</x:v>
      </x:c>
      <x:c r="F49" s="161" t="str">
        <x:v>青云 AI 算力云服务: https://cwiki.yunify.com/pages/viewpage.action?pageId=197094162</x:v>
      </x:c>
    </x:row>
    <x:row r="50" ht="16" customHeight="1">
      <x:c r="A50" s="161" t="str">
        <x:v>青云智算AI算力云服务合同: https://cwiki.yunify.com/pages/viewpage.action?pageId=205191962</x:v>
      </x:c>
      <x:c r="B50" s="161" t="str">
        <x:v>青云智算AI算力云服务合同: https://cwiki.yunify.com/pages/viewpage.action?pageId=205191962</x:v>
      </x:c>
      <x:c r="C50" s="161" t="str">
        <x:v>青云智算AI算力云服务合同: https://cwiki.yunify.com/pages/viewpage.action?pageId=205191962</x:v>
      </x:c>
      <x:c r="D50" s="161" t="str">
        <x:v>青云智算AI算力云服务合同: https://cwiki.yunify.com/pages/viewpage.action?pageId=205191962</x:v>
      </x:c>
      <x:c r="E50" s="161" t="str">
        <x:v>青云智算AI算力云服务合同: https://cwiki.yunify.com/pages/viewpage.action?pageId=205191962</x:v>
      </x:c>
      <x:c r="F50" s="161" t="str">
        <x:v>青云智算AI算力云服务合同: https://cwiki.yunify.com/pages/viewpage.action?pageId=205191962</x:v>
      </x:c>
    </x:row>
    <x:row r="51" ht="16" customHeight="1">
      <x:c r="A51" s="161" t="str">
        <x:v>智算产品（产品矩阵）: https://cwiki.yunify.com/pages/viewpage.action?pageId=180048722</x:v>
      </x:c>
      <x:c r="B51" s="161" t="str">
        <x:v>智算产品（产品矩阵）: https://cwiki.yunify.com/pages/viewpage.action?pageId=180048722</x:v>
      </x:c>
      <x:c r="C51" s="161" t="str">
        <x:v>智算产品（产品矩阵）: https://cwiki.yunify.com/pages/viewpage.action?pageId=180048722</x:v>
      </x:c>
      <x:c r="D51" s="161" t="str">
        <x:v>智算产品（产品矩阵）: https://cwiki.yunify.com/pages/viewpage.action?pageId=180048722</x:v>
      </x:c>
      <x:c r="E51" s="161" t="str">
        <x:v>智算产品（产品矩阵）: https://cwiki.yunify.com/pages/viewpage.action?pageId=180048722</x:v>
      </x:c>
      <x:c r="F51" s="161" t="str">
        <x:v>智算产品（产品矩阵）: https://cwiki.yunify.com/pages/viewpage.action?pageId=180048722</x:v>
      </x:c>
    </x:row>
  </x:sheetData>
  <x:mergeCells>
    <x:mergeCell ref="A1:F1"/>
    <x:mergeCell ref="A2:F2"/>
    <x:mergeCell ref="A4:F4"/>
    <x:mergeCell ref="A18:F18"/>
    <x:mergeCell ref="A20:F20"/>
    <x:mergeCell ref="A21:B21"/>
    <x:mergeCell ref="C21:D21"/>
    <x:mergeCell ref="A22:B22"/>
    <x:mergeCell ref="C22:D22"/>
    <x:mergeCell ref="E22:F22"/>
    <x:mergeCell ref="A23:B23"/>
    <x:mergeCell ref="C23:D23"/>
    <x:mergeCell ref="E23:F23"/>
    <x:mergeCell ref="A24:B24"/>
    <x:mergeCell ref="C24:D24"/>
    <x:mergeCell ref="E24:F24"/>
    <x:mergeCell ref="A27:F27"/>
    <x:mergeCell ref="A45:F45"/>
    <x:mergeCell ref="A47:F47"/>
    <x:mergeCell ref="A48:F48"/>
    <x:mergeCell ref="A49:F49"/>
    <x:mergeCell ref="A50:F50"/>
    <x:mergeCell ref="A51:F5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4" hidden="0" customWidth="1"/>
    <x:col min="2" max="2" width="30" hidden="0" customWidth="1"/>
    <x:col min="3" max="3" width="80" hidden="0" customWidth="1"/>
    <x:col min="4" max="4" width="6" hidden="0" customWidth="1"/>
  </x:cols>
  <x:sheetData>
    <x:row r="1" ht="30" customHeight="1">
      <x:c r="A1" s="4" t="str">
        <x:v>报价模板 · 使用说明与条款</x:v>
      </x:c>
      <x:c r="B1" s="4" t="str">
        <x:v>报价模板 · 使用说明与条款</x:v>
      </x:c>
      <x:c r="C1" s="4" t="str">
        <x:v>报价模板 · 使用说明与条款</x:v>
      </x:c>
      <x:c r="D1" s="4" t="str">
        <x:v>报价模板 · 使用说明与条款</x:v>
      </x:c>
    </x:row>
    <x:row r="3" ht="22" customHeight="1">
      <x:c r="B3" s="15" t="str">
        <x:v>一、使用说明</x:v>
      </x:c>
      <x:c r="C3" s="15" t="str">
        <x:v>一、使用说明</x:v>
      </x:c>
    </x:row>
    <x:row r="4" ht="34" customHeight="1">
      <x:c r="B4" s="162" t="str">
        <x:v>1. 在「报价单」明细区填写：类别、产品/服务、规格说明、计费单位、数量、单价、折扣；小计、合计、税额、含税总计全部自动计算。</x:v>
      </x:c>
      <x:c r="C4" s="162" t="str">
        <x:v>1. 在「报价单」明细区填写：类别、产品/服务、规格说明、计费单位、数量、单价、折扣；小计、合计、税额、含税总计全部自动计算。</x:v>
      </x:c>
    </x:row>
    <x:row r="5" ht="34" customHeight="1">
      <x:c r="B5" s="162" t="str">
        <x:v>2. 「类别」「计费单位」列已设置下拉选择；「数量」「折扣」有输入校验（数量≥0，折扣 0-100%）。</x:v>
      </x:c>
      <x:c r="C5" s="162" t="str">
        <x:v>2. 「类别」「计费单位」列已设置下拉选择；「数量」「折扣」有输入校验（数量≥0，折扣 0-100%）。</x:v>
      </x:c>
    </x:row>
    <x:row r="6" ht="34" customHeight="1">
      <x:c r="B6" s="162" t="str">
        <x:v>3. 单价可参考「价格参考」工作表（按需/包月价格、合同模式、整机库存）；正式报价前务必与销售/运营确认最新价格与库存。</x:v>
      </x:c>
      <x:c r="C6" s="162" t="str">
        <x:v>3. 单价可参考「价格参考」工作表（按需/包月价格、合同模式、整机库存）；正式报价前务必与销售/运营确认最新价格与库存。</x:v>
      </x:c>
    </x:row>
    <x:row r="7" ht="34" customHeight="1">
      <x:c r="B7" s="162" t="str">
        <x:v>4. 修改「增值税税率」单元格即可自动重算税额与含税总计（默认 6%）。</x:v>
      </x:c>
      <x:c r="C7" s="162" t="str">
        <x:v>4. 修改「增值税税率」单元格即可自动重算税额与含税总计（默认 6%）。</x:v>
      </x:c>
    </x:row>
    <x:row r="8" ht="34" customHeight="1">
      <x:c r="B8" s="162" t="str">
        <x:v>5. 第 13-18 行为示例行（浅黄色），正式报价时替换为实际产品与价格；下方空白行可直接填写。</x:v>
      </x:c>
      <x:c r="C8" s="162" t="str">
        <x:v>5. 第 13-18 行为示例行（浅黄色），正式报价时替换为实际产品与价格；下方空白行可直接填写。</x:v>
      </x:c>
    </x:row>
    <x:row r="9" ht="34" customHeight="1">
      <x:c r="B9" s="162" t="str">
        <x:v>6. 如需整机/软硬一体方案，请在「算力资源」类目下按整机报价，并注明区域与交付条件。</x:v>
      </x:c>
      <x:c r="C9" s="162" t="str">
        <x:v>6. 如需整机/软硬一体方案，请在「算力资源」类目下按整机报价，并注明区域与交付条件。</x:v>
      </x:c>
    </x:row>
    <x:row r="11" ht="22" customHeight="1">
      <x:c r="B11" s="15" t="str">
        <x:v>二、报价条款（模板示例，请按实际情况修改）</x:v>
      </x:c>
      <x:c r="C11" s="15" t="str">
        <x:v>二、报价条款（模板示例，请按实际情况修改）</x:v>
      </x:c>
    </x:row>
    <x:row r="12" ht="34" customHeight="1">
      <x:c r="B12" s="162" t="str">
        <x:v>1. 报价有效期：默认 30 天，逾期需重新确认。</x:v>
      </x:c>
      <x:c r="C12" s="162" t="str">
        <x:v>1. 报价有效期：默认 30 天，逾期需重新确认。</x:v>
      </x:c>
    </x:row>
    <x:row r="13" ht="34" customHeight="1">
      <x:c r="B13" s="162" t="str">
        <x:v>2. 付款方式：合同签署后预付首月服务费，后续按月于每周期开始前 5 日支付（也可按季度/年度预付）。</x:v>
      </x:c>
      <x:c r="C13" s="162" t="str">
        <x:v>2. 付款方式：合同签署后预付首月服务费，后续按月于每周期开始前 5 日支付（也可按季度/年度预付）。</x:v>
      </x:c>
    </x:row>
    <x:row r="14" ht="34" customHeight="1">
      <x:c r="B14" s="162" t="str">
        <x:v>3. 发票：增值税专用发票，按月开具，发票明细与采购明细一致。</x:v>
      </x:c>
      <x:c r="C14" s="162" t="str">
        <x:v>3. 发票：增值税专用发票，按月开具，发票明细与采购明细一致。</x:v>
      </x:c>
    </x:row>
    <x:row r="15" ht="34" customHeight="1">
      <x:c r="B15" s="162" t="str">
        <x:v>4. 服务期限：默认 12 个月起，自平台开通并以邮件确认之日起计。</x:v>
      </x:c>
      <x:c r="C15" s="162" t="str">
        <x:v>4. 服务期限：默认 12 个月起，自平台开通并以邮件确认之日起计。</x:v>
      </x:c>
    </x:row>
    <x:row r="16" ht="34" customHeight="1">
      <x:c r="B16" s="162" t="str">
        <x:v>5. 交付：平台账号开通与算力交付时间以乙方邮件通知为准；本报价不含客户现场硬件。</x:v>
      </x:c>
      <x:c r="C16" s="162" t="str">
        <x:v>5. 交付：平台账号开通与算力交付时间以乙方邮件通知为准；本报价不含客户现场硬件。</x:v>
      </x:c>
    </x:row>
    <x:row r="17" ht="34" customHeight="1">
      <x:c r="B17" s="162" t="str">
        <x:v>6. 本报价仅供参考，不构成合同要约；最终以双方签署的合同为准。</x:v>
      </x:c>
      <x:c r="C17" s="162" t="str">
        <x:v>6. 本报价仅供参考，不构成合同要约；最终以双方签署的合同为准。</x:v>
      </x:c>
    </x:row>
    <x:row r="19" ht="22" customHeight="1">
      <x:c r="B19" s="15" t="str">
        <x:v>三、产品背景（青云智算平台简介）</x:v>
      </x:c>
      <x:c r="C19" s="15" t="str">
        <x:v>三、产品背景（青云智算平台简介）</x:v>
      </x:c>
    </x:row>
    <x:row r="20" ht="34" customHeight="1">
      <x:c r="B20" s="162" t="str">
        <x:v>1. AI 智算软件平台：管理运维平台（集群/节点/监控/告警）、管理运营平台（规格/价格/充值/扣费/报表）、自服务平台（任务/数据集/资源组/镜像/GPU切分），支持大模型训练、微调、推理与 MaaS。</x:v>
      </x:c>
      <x:c r="C20" s="162" t="str">
        <x:v>1. AI 智算软件平台：管理运维平台（集群/节点/监控/告警）、管理运营平台（规格/价格/充值/扣费/报表）、自服务平台（任务/数据集/资源组/镜像/GPU切分），支持大模型训练、微调、推理与 MaaS。</x:v>
      </x:c>
    </x:row>
    <x:row r="21" ht="34" customHeight="1">
      <x:c r="B21" s="162" t="str">
        <x:v>2. AI 算力云服务（coreshub.cn）：以智算平台为基础运营多区域算力资源，支持按需与包月计费。</x:v>
      </x:c>
      <x:c r="C21" s="162" t="str">
        <x:v>2. AI 算力云服务（coreshub.cn）：以智算平台为基础运营多区域算力资源，支持按需与包月计费。</x:v>
      </x:c>
    </x:row>
    <x:row r="22" ht="34" customHeight="1">
      <x:c r="B22" s="162" t="str">
        <x:v>3. 芯片适配：NVIDIA 全系列、昇腾全系列、海光 DCU z100L，其他卡可定制适配。</x:v>
      </x:c>
      <x:c r="C22" s="162" t="str">
        <x:v>3. 芯片适配：NVIDIA 全系列、昇腾全系列、海光 DCU z100L，其他卡可定制适配。</x:v>
      </x:c>
    </x:row>
    <x:row r="23" ht="34" customHeight="1">
      <x:c r="B23" s="162" t="str">
        <x:v>4. 部署规模：基础平台 3 节点起步，可到千卡集群；支持超智融合（HPC + AI 算力共池）。</x:v>
      </x:c>
      <x:c r="C23" s="162" t="str">
        <x:v>4. 部署规模：基础平台 3 节点起步，可到千卡集群；支持超智融合（HPC + AI 算力共池）。</x:v>
      </x:c>
    </x:row>
  </x:sheetData>
  <x:mergeCells>
    <x:mergeCell ref="A1:D1"/>
    <x:mergeCell ref="B3:C3"/>
    <x:mergeCell ref="B4:C4"/>
    <x:mergeCell ref="B5:C5"/>
    <x:mergeCell ref="B6:C6"/>
    <x:mergeCell ref="B7:C7"/>
    <x:mergeCell ref="B8:C8"/>
    <x:mergeCell ref="B9:C9"/>
    <x:mergeCell ref="B11:C11"/>
    <x:mergeCell ref="B12:C12"/>
    <x:mergeCell ref="B13:C13"/>
    <x:mergeCell ref="B14:C14"/>
    <x:mergeCell ref="B15:C15"/>
    <x:mergeCell ref="B16:C16"/>
    <x:mergeCell ref="B17:C17"/>
    <x:mergeCell ref="B19:C19"/>
    <x:mergeCell ref="B20:C20"/>
    <x:mergeCell ref="B21:C21"/>
    <x:mergeCell ref="B22:C22"/>
    <x:mergeCell ref="B23:C23"/>
  </x:mergeCells>
  <x:pageMargins left="0.7" right="0.7" top="0.75" bottom="0.75" header="0.3" footer="0.3"/>
</x:worksheet>
</file>
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1550" windowHeight="10080" tabRatio="600" firstSheet="0" activeTab="0" autoFilterDateGrouping="1"/>
  </bookViews>
  <sheets>
    <sheet xmlns:r="http://schemas.openxmlformats.org/officeDocument/2006/relationships" name="智算产品定价组合License授权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￥&quot;#,##0.00;[Red]&quot;￥&quot;\-#,##0.00"/>
    <numFmt numFmtId="165" formatCode="0_);[Red]\(0\)"/>
  </numFmts>
  <fonts count="33">
    <font>
      <name val="Arial"/>
      <charset val="134"/>
      <color theme="1"/>
      <sz val="11"/>
      <scheme val="minor"/>
    </font>
    <font>
      <name val="微软雅黑"/>
      <charset val="134"/>
      <color theme="0"/>
      <sz val="18"/>
    </font>
    <font>
      <name val="微软雅黑"/>
      <charset val="134"/>
      <color theme="0"/>
      <sz val="11"/>
    </font>
    <font>
      <name val="微软雅黑"/>
      <charset val="134"/>
      <sz val="11"/>
    </font>
    <font>
      <name val="微软雅黑"/>
      <charset val="134"/>
      <color theme="2" tint="-0.1"/>
      <sz val="11"/>
    </font>
    <font>
      <name val="微软雅黑"/>
      <charset val="134"/>
      <color theme="2" tint="-0.1"/>
      <sz val="11"/>
    </font>
    <font>
      <name val="微软雅黑"/>
      <charset val="134"/>
      <b val="1"/>
      <sz val="12"/>
    </font>
    <font>
      <name val="微软雅黑"/>
      <charset val="134"/>
      <b val="1"/>
      <sz val="11"/>
    </font>
    <font>
      <name val="微软雅黑"/>
      <charset val="134"/>
      <color theme="1"/>
      <sz val="11"/>
    </font>
    <font>
      <name val="Arial"/>
      <charset val="134"/>
      <color indexed="4"/>
      <sz val="11"/>
      <u val="single"/>
      <scheme val="minor"/>
    </font>
    <font>
      <name val="Arial"/>
      <charset val="134"/>
      <color indexed="20"/>
      <sz val="11"/>
      <u val="single"/>
      <scheme val="minor"/>
    </font>
    <font>
      <name val="Arial"/>
      <charset val="134"/>
      <color indexed="2"/>
      <sz val="11"/>
      <scheme val="minor"/>
    </font>
    <font>
      <name val="Arial"/>
      <charset val="134"/>
      <b val="1"/>
      <color theme="3"/>
      <sz val="18"/>
      <scheme val="minor"/>
    </font>
    <font>
      <name val="Arial"/>
      <charset val="134"/>
      <i val="1"/>
      <color rgb="FF7F7F7F"/>
      <sz val="11"/>
      <scheme val="minor"/>
    </font>
    <font>
      <name val="Arial"/>
      <charset val="134"/>
      <b val="1"/>
      <color theme="3"/>
      <sz val="15"/>
      <scheme val="minor"/>
    </font>
    <font>
      <name val="Arial"/>
      <charset val="134"/>
      <b val="1"/>
      <color theme="3"/>
      <sz val="13"/>
      <scheme val="minor"/>
    </font>
    <font>
      <name val="Arial"/>
      <charset val="134"/>
      <b val="1"/>
      <color theme="3"/>
      <sz val="11"/>
      <scheme val="minor"/>
    </font>
    <font>
      <name val="Arial"/>
      <charset val="134"/>
      <color rgb="FF3F3F76"/>
      <sz val="11"/>
      <scheme val="minor"/>
    </font>
    <font>
      <name val="Arial"/>
      <charset val="134"/>
      <b val="1"/>
      <color rgb="FF3F3F3F"/>
      <sz val="11"/>
      <scheme val="minor"/>
    </font>
    <font>
      <name val="Arial"/>
      <charset val="134"/>
      <b val="1"/>
      <color rgb="FFFA7D00"/>
      <sz val="11"/>
      <scheme val="minor"/>
    </font>
    <font>
      <name val="Arial"/>
      <charset val="134"/>
      <b val="1"/>
      <color indexed="65"/>
      <sz val="11"/>
      <scheme val="minor"/>
    </font>
    <font>
      <name val="Arial"/>
      <charset val="134"/>
      <color rgb="FFFA7D00"/>
      <sz val="11"/>
      <scheme val="minor"/>
    </font>
    <font>
      <name val="Arial"/>
      <charset val="134"/>
      <b val="1"/>
      <color theme="1"/>
      <sz val="11"/>
      <scheme val="minor"/>
    </font>
    <font>
      <name val="Arial"/>
      <charset val="134"/>
      <color rgb="FF006100"/>
      <sz val="11"/>
      <scheme val="minor"/>
    </font>
    <font>
      <name val="Arial"/>
      <charset val="134"/>
      <color rgb="FF9C0006"/>
      <sz val="11"/>
      <scheme val="minor"/>
    </font>
    <font>
      <name val="Arial"/>
      <charset val="134"/>
      <color rgb="FF9C6500"/>
      <sz val="11"/>
      <scheme val="minor"/>
    </font>
    <font>
      <name val="Arial"/>
      <charset val="134"/>
      <color theme="0"/>
      <sz val="11"/>
      <scheme val="minor"/>
    </font>
    <font>
      <name val="微软雅黑"/>
      <color rgb="00333333"/>
      <sz val="10"/>
    </font>
    <font>
      <name val="微软雅黑"/>
      <b val="1"/>
      <color rgb="00FFFFFF"/>
      <sz val="11"/>
    </font>
    <font>
      <name val="微软雅黑"/>
      <b val="1"/>
      <color rgb="00FFFFFF"/>
      <sz val="9"/>
    </font>
    <font>
      <name val="微软雅黑"/>
      <b val="1"/>
      <sz val="10"/>
    </font>
    <font>
      <name val="微软雅黑"/>
      <b val="1"/>
      <color rgb="00C00000"/>
      <sz val="11"/>
    </font>
    <font>
      <name val="微软雅黑"/>
      <i val="1"/>
      <color rgb="00666666"/>
      <sz val="8"/>
    </font>
  </fonts>
  <fills count="38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/>
      <right style="thin"/>
      <top style="thin"/>
      <bottom style="medium"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3" borderId="7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8" applyAlignment="1">
      <alignment vertical="center"/>
    </xf>
    <xf numFmtId="0" fontId="15" fillId="0" borderId="8" applyAlignment="1">
      <alignment vertical="center"/>
    </xf>
    <xf numFmtId="0" fontId="16" fillId="0" borderId="9" applyAlignment="1">
      <alignment vertical="center"/>
    </xf>
    <xf numFmtId="0" fontId="16" fillId="0" borderId="0" applyAlignment="1">
      <alignment vertical="center"/>
    </xf>
    <xf numFmtId="0" fontId="17" fillId="4" borderId="10" applyAlignment="1">
      <alignment vertical="center"/>
    </xf>
    <xf numFmtId="0" fontId="18" fillId="5" borderId="11" applyAlignment="1">
      <alignment vertical="center"/>
    </xf>
    <xf numFmtId="0" fontId="19" fillId="5" borderId="10" applyAlignment="1">
      <alignment vertical="center"/>
    </xf>
    <xf numFmtId="0" fontId="20" fillId="6" borderId="12" applyAlignment="1">
      <alignment vertical="center"/>
    </xf>
    <xf numFmtId="0" fontId="21" fillId="0" borderId="13" applyAlignment="1">
      <alignment vertical="center"/>
    </xf>
    <xf numFmtId="0" fontId="22" fillId="0" borderId="14" applyAlignment="1">
      <alignment vertical="center"/>
    </xf>
    <xf numFmtId="0" fontId="23" fillId="7" borderId="0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6" fillId="13" borderId="0" applyAlignment="1">
      <alignment vertical="center"/>
    </xf>
    <xf numFmtId="0" fontId="26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6" fillId="17" borderId="0" applyAlignment="1">
      <alignment vertical="center"/>
    </xf>
    <xf numFmtId="0" fontId="26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6" fillId="21" borderId="0" applyAlignment="1">
      <alignment vertical="center"/>
    </xf>
    <xf numFmtId="0" fontId="26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6" fillId="25" borderId="0" applyAlignment="1">
      <alignment vertical="center"/>
    </xf>
    <xf numFmtId="0" fontId="26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6" fillId="29" borderId="0" applyAlignment="1">
      <alignment vertical="center"/>
    </xf>
    <xf numFmtId="0" fontId="26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6" fillId="33" borderId="0" applyAlignment="1">
      <alignment vertical="center"/>
    </xf>
  </cellStyleXfs>
  <cellXfs count="60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164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vertical="center" wrapText="1"/>
    </xf>
    <xf numFmtId="0" fontId="6" fillId="0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164" fontId="3" fillId="0" borderId="3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 wrapText="1"/>
    </xf>
    <xf numFmtId="164" fontId="3" fillId="0" borderId="4" applyAlignment="1" pivotButton="0" quotePrefix="0" xfId="0">
      <alignment vertical="center" wrapText="1"/>
    </xf>
    <xf numFmtId="0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vertical="center" wrapText="1"/>
    </xf>
    <xf numFmtId="164" fontId="3" fillId="0" borderId="5" applyAlignment="1" pivotButton="0" quotePrefix="0" xfId="0">
      <alignment vertical="center" wrapText="1"/>
    </xf>
    <xf numFmtId="165" fontId="3" fillId="0" borderId="5" applyAlignment="1" pivotButton="0" quotePrefix="0" xfId="0">
      <alignment horizontal="center" vertical="center" wrapText="1"/>
    </xf>
    <xf numFmtId="164" fontId="7" fillId="0" borderId="6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165" fontId="3" fillId="0" borderId="3" applyAlignment="1" pivotButton="0" quotePrefix="0" xfId="0">
      <alignment horizontal="center" vertical="center" wrapText="1"/>
    </xf>
    <xf numFmtId="164" fontId="3" fillId="0" borderId="4" applyAlignment="1" pivotButton="0" quotePrefix="0" xfId="0">
      <alignment vertic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27" fillId="0" borderId="0" applyAlignment="1" pivotButton="0" quotePrefix="0" xfId="0">
      <alignment horizontal="left" vertical="center"/>
    </xf>
    <xf numFmtId="164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 wrapText="1"/>
    </xf>
    <xf numFmtId="0" fontId="0" fillId="0" borderId="18" pivotButton="0" quotePrefix="0" xfId="0"/>
    <xf numFmtId="164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vertical="center" wrapText="1"/>
    </xf>
    <xf numFmtId="165" fontId="5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4" fontId="7" fillId="0" borderId="1" applyAlignment="1" pivotButton="0" quotePrefix="0" xfId="0">
      <alignment vertical="center" wrapText="1"/>
    </xf>
    <xf numFmtId="164" fontId="3" fillId="0" borderId="3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 wrapText="1"/>
    </xf>
    <xf numFmtId="164" fontId="3" fillId="0" borderId="4" applyAlignment="1" pivotButton="0" quotePrefix="0" xfId="0">
      <alignment vertical="center" wrapText="1"/>
    </xf>
    <xf numFmtId="164" fontId="3" fillId="0" borderId="5" applyAlignment="1" pivotButton="0" quotePrefix="0" xfId="0">
      <alignment vertical="center" wrapText="1"/>
    </xf>
    <xf numFmtId="165" fontId="3" fillId="0" borderId="5" applyAlignment="1" pivotButton="0" quotePrefix="0" xfId="0">
      <alignment horizontal="center" vertical="center" wrapText="1"/>
    </xf>
    <xf numFmtId="164" fontId="7" fillId="0" borderId="6" applyAlignment="1" pivotButton="0" quotePrefix="0" xfId="0">
      <alignment vertical="center" wrapText="1"/>
    </xf>
    <xf numFmtId="0" fontId="28" fillId="34" borderId="0" applyAlignment="1" pivotButton="0" quotePrefix="0" xfId="0">
      <alignment horizontal="center" vertical="center"/>
    </xf>
    <xf numFmtId="0" fontId="29" fillId="35" borderId="19" applyAlignment="1" pivotButton="0" quotePrefix="0" xfId="0">
      <alignment horizontal="center" vertical="center" wrapText="1"/>
    </xf>
    <xf numFmtId="0" fontId="30" fillId="36" borderId="20" pivotButton="0" quotePrefix="0" xfId="0"/>
    <xf numFmtId="0" fontId="0" fillId="36" borderId="20" pivotButton="0" quotePrefix="0" xfId="0"/>
    <xf numFmtId="0" fontId="31" fillId="36" borderId="20" pivotButton="0" quotePrefix="0" xfId="0"/>
    <xf numFmtId="0" fontId="30" fillId="37" borderId="20" pivotButton="0" quotePrefix="0" xfId="0"/>
    <xf numFmtId="0" fontId="0" fillId="37" borderId="20" pivotButton="0" quotePrefix="0" xfId="0"/>
    <xf numFmtId="0" fontId="31" fillId="37" borderId="20" pivotButton="0" quotePrefix="0" xfId="0"/>
    <xf numFmtId="0" fontId="32" fillId="0" borderId="0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left/>
        <right/>
        <top style="double">
          <color theme="4"/>
        </top>
        <bottom/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left/>
        <right/>
        <top/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left/>
        <right/>
        <top/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left/>
        <right/>
        <top/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left/>
        <right/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left/>
        <right/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left/>
        <right/>
        <top/>
        <bottom style="thin">
          <color theme="4" tint="0.399975585192419"/>
        </bottom>
      </border>
    </dxf>
  </dxfs>
  <tableStyles count="2" defaultTableStyle="TableStyleMedium2" defaultPivotStyle="PivotStyleLight16">
    <tableStyle name="TableStylePreset3_Accent1 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 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tabSelected="1" zoomScale="70" zoomScaleNormal="70" workbookViewId="0">
      <selection activeCell="L15" sqref="L15"/>
    </sheetView>
  </sheetViews>
  <sheetFormatPr baseColWidth="8" defaultColWidth="9.233333333333331" defaultRowHeight="14"/>
  <cols>
    <col width="11.4333333333333" customWidth="1" style="31" min="1" max="1"/>
    <col width="19.5166666666667" customWidth="1" style="31" min="2" max="2"/>
    <col width="60.125" customWidth="1" style="31" min="3" max="3"/>
    <col width="43.8" customWidth="1" style="31" min="4" max="4"/>
    <col width="11.4416666666667" customWidth="1" style="31" min="6" max="6"/>
    <col width="14.5166666666667" customWidth="1" style="31" min="8" max="8"/>
    <col width="9.866666666666671" customWidth="1" style="31" min="9" max="9"/>
    <col width="19.2166666666667" customWidth="1" style="31" min="10" max="10"/>
    <col width="15.7166666666667" customWidth="1" style="31" min="11" max="11"/>
  </cols>
  <sheetData>
    <row r="1" ht="51" customHeight="1" s="31">
      <c r="A1" s="1" t="inlineStr">
        <is>
          <t>AI 智算产品与服务报价单（有效期三个月）</t>
        </is>
      </c>
      <c r="B1" s="32" t="n"/>
      <c r="C1" s="32" t="n"/>
      <c r="D1" s="32" t="n"/>
      <c r="E1" s="32" t="n"/>
      <c r="F1" s="32" t="n"/>
      <c r="G1" s="32" t="n"/>
      <c r="H1" s="32" t="n"/>
      <c r="I1" s="32" t="n"/>
      <c r="J1" s="33" t="n"/>
    </row>
    <row r="2" ht="26" customHeight="1" s="31">
      <c r="A2" s="34" t="inlineStr">
        <is>
          <t>客户：甬江实验室  |  报价编号：QF-2026-0618-SW  |  报价日期：2026年6月18日</t>
        </is>
      </c>
    </row>
    <row r="3" ht="45" customHeight="1" s="31">
      <c r="A3" s="2" t="inlineStr">
        <is>
          <t>分类</t>
        </is>
      </c>
      <c r="B3" s="2" t="inlineStr">
        <is>
          <t>名称</t>
        </is>
      </c>
      <c r="C3" s="2" t="inlineStr">
        <is>
          <t>说明</t>
        </is>
      </c>
      <c r="D3" s="2" t="inlineStr">
        <is>
          <t>限制描述</t>
        </is>
      </c>
      <c r="E3" s="2" t="inlineStr">
        <is>
          <t>模式</t>
        </is>
      </c>
      <c r="F3" s="2" t="inlineStr">
        <is>
          <t>收费模式</t>
        </is>
      </c>
      <c r="G3" s="2" t="inlineStr">
        <is>
          <t>必选</t>
        </is>
      </c>
      <c r="H3" s="2" t="inlineStr">
        <is>
          <t>单价</t>
        </is>
      </c>
      <c r="I3" s="3" t="inlineStr">
        <is>
          <t>数量</t>
        </is>
      </c>
      <c r="J3" s="3" t="inlineStr">
        <is>
          <t>小计</t>
        </is>
      </c>
    </row>
    <row r="4" ht="77" customHeight="1" s="31">
      <c r="A4" s="4" t="inlineStr">
        <is>
          <t>青云AI智算平台</t>
        </is>
      </c>
      <c r="B4" s="5" t="inlineStr">
        <is>
          <t>基础平台</t>
        </is>
      </c>
      <c r="C4" s="5" t="inlineStr">
        <is>
          <t>提供基于kubernetes容器的集群管理、节点管理、GPU监控、日志服务、镜像仓库、团队管理、资源组服务等基础服务</t>
        </is>
      </c>
      <c r="D4" s="5" t="inlineStr">
        <is>
          <t>1、除管理节点外其他任何节点都需要选购该授权。
2、按接入的节点GPU数量授权，最低8卡。
3、默认提供一年免费维保。
4、基础模块叠加业务模块进行使用
5、基础模块不单独售卖</t>
        </is>
      </c>
      <c r="E4" s="5" t="inlineStr">
        <is>
          <t>软件</t>
        </is>
      </c>
      <c r="F4" s="5" t="inlineStr">
        <is>
          <t>每GPU</t>
        </is>
      </c>
      <c r="G4" s="5" t="inlineStr">
        <is>
          <t>必须</t>
        </is>
      </c>
      <c r="H4" s="35" t="n">
        <v>1200</v>
      </c>
      <c r="I4" s="36" t="n">
        <v>8</v>
      </c>
      <c r="J4" s="37">
        <f>H4*I4</f>
        <v/>
      </c>
    </row>
    <row r="5" ht="77" customHeight="1" s="31">
      <c r="A5" s="38" t="n"/>
      <c r="B5" s="5" t="inlineStr">
        <is>
          <t>GPU计算模块</t>
        </is>
      </c>
      <c r="C5" s="5" t="inlineStr">
        <is>
          <t>支持1、2、3、4卡容器实例，支持远程 ssh、webssh、jupyter、vscode、开放端口，容器保存镜像到镜像仓库、开关机、开关机变更规格、定时释放、注入环境变量、自动挂载存储功能，容器自定义程度高，支持范围广，做到租户隔离，提供安全、可靠边界的研发环境。</t>
        </is>
      </c>
      <c r="D5" s="5" t="inlineStr">
        <is>
          <t>1、除管理节点外其他任何节点都需要选购该授权。
2、按接入的节点GPU数量授权，最低8卡。
3、基础模块叠加此模块使用</t>
        </is>
      </c>
      <c r="E5" s="5" t="inlineStr">
        <is>
          <t>软件</t>
        </is>
      </c>
      <c r="F5" s="5" t="inlineStr">
        <is>
          <t>每GPU</t>
        </is>
      </c>
      <c r="G5" s="5" t="inlineStr">
        <is>
          <t>必须</t>
        </is>
      </c>
      <c r="H5" s="37" t="n">
        <v>1728</v>
      </c>
      <c r="I5" s="36" t="n">
        <v>8</v>
      </c>
      <c r="J5" s="37">
        <f>H5*I5</f>
        <v/>
      </c>
    </row>
    <row r="6" ht="132" customHeight="1" s="31">
      <c r="A6" s="38" t="n"/>
      <c r="B6" s="9" t="inlineStr">
        <is>
          <t>分布式训练模块</t>
        </is>
      </c>
      <c r="C6" s="9" t="inlineStr">
        <is>
          <t>提供单机、多机多卡分布式训练，可任意配置计算池和调度颗粒度，支持webssh、任务支持容器组、容器监控、优先级排队、故障容错、容器调度事件监控、任务日志功能，自动调度分配计算资源，计算完成释放资源，可做到优先级、抢占等调度策略，适合团队研发训练模型场景</t>
        </is>
      </c>
      <c r="D6" s="9" t="inlineStr">
        <is>
          <t>1、除管理节点外其他任何节点都需要选购该授权。
2、按接入的节点GPU数量授权，最低8卡。</t>
        </is>
      </c>
      <c r="E6" s="9" t="inlineStr">
        <is>
          <t>软件</t>
        </is>
      </c>
      <c r="F6" s="9" t="inlineStr">
        <is>
          <t>每GPU</t>
        </is>
      </c>
      <c r="G6" s="9" t="inlineStr">
        <is>
          <t>可选</t>
        </is>
      </c>
      <c r="H6" s="39" t="n">
        <v>2520</v>
      </c>
      <c r="I6" s="40" t="n">
        <v>8</v>
      </c>
      <c r="J6" s="39">
        <f>H6*I6</f>
        <v/>
      </c>
    </row>
    <row r="7" ht="61" customHeight="1" s="31">
      <c r="A7" s="38" t="n"/>
      <c r="B7" s="5" t="inlineStr">
        <is>
          <t>分布式推理模块</t>
        </is>
      </c>
      <c r="C7" s="5" t="inlineStr">
        <is>
          <t>支持模型广场，用户可进行自服务配置模型，对接modelscope自动联网下载模型，同推理引擎结合，实现立即部署调用，自动正常APIkey，同时对超大规模参与模型立即多节点分布式部署，在自定义模型的情况下，支持自定义推理镜像选项，支持模型申请上架到模型广场，支持模型上架到大模型服务以便提供公共服务，支持在线可视化的扩容、缩容推理服务，支持关闭推理服务，支持部署多个模型服务，支持模型自动生成 API 地址、API 秘钥功能，支持服务监控、日志监控、操作日志、模型升级更换便捷等，</t>
        </is>
      </c>
      <c r="D7" s="5" t="inlineStr">
        <is>
          <t>1、除管理节点外其他任何节点都需要选购该授权。
2、按接入的节点GPU数量授权，最低8卡。</t>
        </is>
      </c>
      <c r="E7" s="5" t="inlineStr">
        <is>
          <t>软件</t>
        </is>
      </c>
      <c r="F7" s="5" t="inlineStr">
        <is>
          <t>每GPU</t>
        </is>
      </c>
      <c r="G7" s="5" t="inlineStr">
        <is>
          <t>可选</t>
        </is>
      </c>
      <c r="H7" s="37" t="n">
        <v>2520</v>
      </c>
      <c r="I7" s="36" t="n">
        <v>8</v>
      </c>
      <c r="J7" s="37">
        <f>H7*I7</f>
        <v/>
      </c>
    </row>
    <row r="8" ht="47" customHeight="1" s="31">
      <c r="A8" s="38" t="n"/>
      <c r="B8" s="5" t="inlineStr">
        <is>
          <t>大模型MaaS服务模块</t>
        </is>
      </c>
      <c r="C8" s="5" t="inlineStr">
        <is>
          <t>提供在线推理服务，可将部署好的模型上架，支持配置多个推理服务统一提供公共服务，模型网络会自动负载均衡，用户可基于上架的模型服务，创建自己的apikey进行模型调用，开放API、API秘钥功能、模型用量统计、根据用户等级限速等，可查看模型用量趋势、统计等信息</t>
        </is>
      </c>
      <c r="D8" s="5" t="inlineStr">
        <is>
          <t>1、除管理节点外其他任何节点都需要选购该授权。
2、按接入的节点GPU数量授权，最低8卡。
3、需联合购买「分布式推理模块」进行推理服务的日常管理</t>
        </is>
      </c>
      <c r="E8" s="5" t="inlineStr">
        <is>
          <t>软件</t>
        </is>
      </c>
      <c r="F8" s="5" t="inlineStr">
        <is>
          <t>每GPU</t>
        </is>
      </c>
      <c r="G8" s="5" t="inlineStr">
        <is>
          <t>可选</t>
        </is>
      </c>
      <c r="H8" s="37" t="n">
        <v>1080</v>
      </c>
      <c r="I8" s="36" t="n">
        <v>8</v>
      </c>
      <c r="J8" s="37">
        <f>H8*I8</f>
        <v/>
      </c>
    </row>
    <row r="9" ht="47" customHeight="1" s="31">
      <c r="A9" s="38" t="n"/>
      <c r="B9" s="12" t="inlineStr">
        <is>
          <t>运营模块-计量模块</t>
        </is>
      </c>
      <c r="C9" s="12" t="inlineStr">
        <is>
          <t>提供用户量管理功能 ，通过配置额度、可用余额渠道，分配和管理用户所用资源量，提供核时、卡时统计、导出等日常运营报表</t>
        </is>
      </c>
      <c r="D9" s="12" t="inlineStr">
        <is>
          <t>1、除管理节点外其他任何节点都需要选购该授权。
2、按接入的节点GPU数量授权，最低8卡。
3、基础模块叠加此模块使用</t>
        </is>
      </c>
      <c r="E9" s="12" t="inlineStr">
        <is>
          <t>软件</t>
        </is>
      </c>
      <c r="F9" s="12" t="inlineStr">
        <is>
          <t>每GPU</t>
        </is>
      </c>
      <c r="G9" s="12" t="inlineStr">
        <is>
          <t>可选</t>
        </is>
      </c>
      <c r="H9" s="41" t="n">
        <v>1800</v>
      </c>
      <c r="I9" s="42" t="n">
        <v>8</v>
      </c>
      <c r="J9" s="41">
        <f>H9*I9</f>
        <v/>
      </c>
    </row>
    <row r="10" ht="47" customHeight="1" s="31">
      <c r="A10" s="38" t="n"/>
      <c r="B10" s="12" t="inlineStr">
        <is>
          <t>运营模块-财务模块</t>
        </is>
      </c>
      <c r="C10" s="12" t="inlineStr">
        <is>
          <t>此模块提供平台的高级运营功能，真正开始流转资源，接支付宝充值、钱包管理</t>
        </is>
      </c>
      <c r="D10" s="12" t="inlineStr">
        <is>
          <t>1、除管理节点外其他任何节点都需要选购该授权。
2、按接入的节点GPU数量授权，最低8卡。
3、基础模块叠加此模块使用</t>
        </is>
      </c>
      <c r="E10" s="12" t="inlineStr">
        <is>
          <t>软件</t>
        </is>
      </c>
      <c r="F10" s="12" t="inlineStr">
        <is>
          <t>每GPU</t>
        </is>
      </c>
      <c r="G10" s="12" t="inlineStr">
        <is>
          <t>可选</t>
        </is>
      </c>
      <c r="H10" s="41" t="n">
        <v>1726</v>
      </c>
      <c r="I10" s="42" t="n">
        <v>8</v>
      </c>
      <c r="J10" s="41">
        <f>H10*I10</f>
        <v/>
      </c>
    </row>
    <row r="11" ht="51" customHeight="1" s="31">
      <c r="A11" s="38" t="n"/>
      <c r="B11" s="5" t="inlineStr">
        <is>
          <t>GPU池化模块</t>
        </is>
      </c>
      <c r="C11" s="5" t="inlineStr">
        <is>
          <t>此模块提供基于容器的虚拟GPU\NPU\DCU，通过拦截cuda的形式将显存进行切分使用，单卡可灵活分配显存1G、2G等任意配置组合，可用来做开发实例资源和小模型推理服务</t>
        </is>
      </c>
      <c r="D11" s="5" t="inlineStr">
        <is>
          <t>1、除管理节点外其他任何节点都需要选购该授权。
2、按接入的节点GPU数量授权，最低8卡。</t>
        </is>
      </c>
      <c r="E11" s="5" t="inlineStr">
        <is>
          <t>软件</t>
        </is>
      </c>
      <c r="F11" s="5" t="inlineStr">
        <is>
          <t>每GPU</t>
        </is>
      </c>
      <c r="G11" s="5" t="inlineStr">
        <is>
          <t>可选</t>
        </is>
      </c>
      <c r="H11" s="37" t="n">
        <v>900</v>
      </c>
      <c r="I11" s="36" t="n">
        <v>8</v>
      </c>
      <c r="J11" s="37">
        <f>H11*I11</f>
        <v/>
      </c>
    </row>
    <row r="12" ht="60" customHeight="1" s="31">
      <c r="A12" s="38" t="n"/>
      <c r="B12" s="9" t="inlineStr">
        <is>
          <t>CPU计算模块</t>
        </is>
      </c>
      <c r="C12" s="9" t="inlineStr">
        <is>
          <t>支持纳管无卡的CPU 计算节点，配合上方购买的模块进行使用</t>
        </is>
      </c>
      <c r="D12" s="9" t="inlineStr">
        <is>
          <t>1、已对接过的第三方存储按照GPU/CPU计费，HPC-CPU节点按照CPU数量计算、GPU节点按照GPU数量计费
2、24卡起订
3、未对接过的，额外下单下方“增值产品服务-第三方存储对接”</t>
        </is>
      </c>
      <c r="E12" s="9" t="inlineStr">
        <is>
          <t>软件</t>
        </is>
      </c>
      <c r="F12" s="9" t="inlineStr">
        <is>
          <t>每GPU</t>
        </is>
      </c>
      <c r="G12" s="9" t="inlineStr">
        <is>
          <t>可选</t>
        </is>
      </c>
      <c r="H12" s="39" t="n">
        <v>1680</v>
      </c>
      <c r="I12" s="40" t="n">
        <v>8</v>
      </c>
      <c r="J12" s="39">
        <f>H12*I12</f>
        <v/>
      </c>
    </row>
    <row r="13" ht="16.5" customHeight="1" s="31">
      <c r="A13" s="43" t="n"/>
      <c r="B13" s="5" t="inlineStr">
        <is>
          <t>并行文件存储服务化</t>
        </is>
      </c>
      <c r="C13" s="5" t="inlineStr">
        <is>
          <t>提供对接第三方存储，提供上传、下载、创建目录、扩容、缩容等功能。当前已对接GPFS、luster、海光parastor、juiceFS、浪潮文件存储</t>
        </is>
      </c>
      <c r="D13" s="5" t="inlineStr">
        <is>
          <t>1、已对接过的第三方存储按照GPU/CPU计费，HPC-CPU节点按照CPU数量计算、GPU节点按照GPU数量计费
2、24卡起订
3、未对接过的，额外下单下方“增值产品服务-第三方存储对接”</t>
        </is>
      </c>
      <c r="E13" s="5" t="inlineStr">
        <is>
          <t>软件</t>
        </is>
      </c>
      <c r="F13" s="5" t="inlineStr">
        <is>
          <t>每CPU</t>
        </is>
      </c>
      <c r="G13" s="5" t="inlineStr">
        <is>
          <t>可选</t>
        </is>
      </c>
      <c r="H13" s="37" t="n">
        <v>720</v>
      </c>
      <c r="I13" s="36" t="n">
        <v>8</v>
      </c>
      <c r="J13" s="37">
        <f>H13*I13</f>
        <v/>
      </c>
    </row>
    <row r="14" ht="16.5" customHeight="1" s="31">
      <c r="A14" s="15" t="inlineStr">
        <is>
          <t>小计（元）--软件License费用</t>
        </is>
      </c>
      <c r="B14" s="32" t="n"/>
      <c r="C14" s="32" t="n"/>
      <c r="D14" s="32" t="n"/>
      <c r="E14" s="32" t="n"/>
      <c r="F14" s="32" t="n"/>
      <c r="G14" s="33" t="n"/>
      <c r="H14" s="37" t="n"/>
      <c r="I14" s="36" t="n"/>
      <c r="J14" s="44">
        <f>SUM(J4:J13)</f>
        <v/>
      </c>
    </row>
    <row r="15" ht="86" customHeight="1" s="31">
      <c r="A15" s="17" t="n"/>
      <c r="B15" s="28" t="n"/>
      <c r="C15" s="28" t="n"/>
      <c r="D15" s="28" t="n"/>
      <c r="E15" s="28" t="n"/>
      <c r="F15" s="28" t="n"/>
      <c r="G15" s="28" t="n"/>
      <c r="H15" s="45" t="n"/>
      <c r="I15" s="46" t="n"/>
      <c r="J15" s="47" t="n"/>
    </row>
    <row r="16" ht="24" customHeight="1" s="31">
      <c r="A16" s="22" t="inlineStr">
        <is>
          <t>实施服务</t>
        </is>
      </c>
      <c r="B16" s="23" t="inlineStr">
        <is>
          <t>实施服务</t>
        </is>
      </c>
      <c r="C16" s="23" t="inlineStr">
        <is>
          <t>针对我方产品提供如下技术服务：
1、平台部署
2、使用培训
说明:甲方需确保GPU主机硬件或网络组网等准备就绪满足我方产品部署要求，如包含高性能网路，需增加1人天进行网络通信测试</t>
        </is>
      </c>
      <c r="D16" s="23" t="inlineStr">
        <is>
          <t>按人天提供服务，至少10人天。</t>
        </is>
      </c>
      <c r="E16" s="23" t="inlineStr">
        <is>
          <t>服务</t>
        </is>
      </c>
      <c r="F16" s="23" t="inlineStr">
        <is>
          <t>人天</t>
        </is>
      </c>
      <c r="G16" s="23" t="inlineStr">
        <is>
          <t>必须</t>
        </is>
      </c>
      <c r="H16" s="48" t="n">
        <v>5500</v>
      </c>
      <c r="I16" s="49" t="n">
        <v>10</v>
      </c>
      <c r="J16" s="48">
        <f>H16*I16</f>
        <v/>
      </c>
    </row>
    <row r="17" ht="16.5" customHeight="1" s="31">
      <c r="A17" s="15" t="inlineStr">
        <is>
          <t>小计（元）--实施服务费用</t>
        </is>
      </c>
      <c r="B17" s="32" t="n"/>
      <c r="C17" s="32" t="n"/>
      <c r="D17" s="32" t="n"/>
      <c r="E17" s="32" t="n"/>
      <c r="F17" s="32" t="n"/>
      <c r="G17" s="33" t="n"/>
      <c r="H17" s="48" t="n"/>
      <c r="I17" s="49" t="n"/>
      <c r="J17" s="50">
        <f>J16</f>
        <v/>
      </c>
    </row>
    <row r="18" ht="49" customHeight="1" s="31">
      <c r="A18" s="22" t="n"/>
      <c r="B18" s="28" t="n"/>
      <c r="C18" s="28" t="n"/>
      <c r="D18" s="28" t="n"/>
      <c r="E18" s="28" t="n"/>
      <c r="F18" s="28" t="n"/>
      <c r="G18" s="28" t="n"/>
      <c r="H18" s="45" t="n"/>
      <c r="I18" s="46" t="n"/>
      <c r="J18" s="47" t="n"/>
    </row>
    <row r="19" ht="16.5" customHeight="1" s="31">
      <c r="A19" s="27" t="inlineStr">
        <is>
          <t>维保服务</t>
        </is>
      </c>
      <c r="B19" s="5" t="inlineStr">
        <is>
          <t>维保服务</t>
        </is>
      </c>
      <c r="C19" s="5" t="inlineStr">
        <is>
          <t>平台默认提供一年维保，可增加购买维保服务</t>
        </is>
      </c>
      <c r="D19" s="5" t="inlineStr">
        <is>
          <t>按产品列表价 10%</t>
        </is>
      </c>
      <c r="E19" s="5" t="inlineStr">
        <is>
          <t>服务</t>
        </is>
      </c>
      <c r="F19" s="5" t="inlineStr">
        <is>
          <t>每年</t>
        </is>
      </c>
      <c r="G19" s="5" t="inlineStr">
        <is>
          <t>可选</t>
        </is>
      </c>
      <c r="H19" s="37">
        <f>SUM(J4:J13)*10%</f>
        <v/>
      </c>
      <c r="I19" s="36" t="n"/>
      <c r="J19" s="37">
        <f>H19*I19</f>
        <v/>
      </c>
    </row>
    <row r="20" ht="16.5" customHeight="1" s="31">
      <c r="A20" s="27" t="n"/>
      <c r="B20" s="15" t="inlineStr">
        <is>
          <t>小计（元）--维保费用（首年免费）</t>
        </is>
      </c>
      <c r="C20" s="32" t="n"/>
      <c r="D20" s="32" t="n"/>
      <c r="E20" s="32" t="n"/>
      <c r="F20" s="32" t="n"/>
      <c r="G20" s="32" t="n"/>
      <c r="H20" s="33" t="n"/>
      <c r="I20" s="36" t="n"/>
      <c r="J20" s="37">
        <f>J19</f>
        <v/>
      </c>
    </row>
    <row r="21" ht="37" customHeight="1" s="31">
      <c r="A21" s="27" t="n"/>
      <c r="B21" s="28" t="n"/>
      <c r="C21" s="28" t="n"/>
      <c r="D21" s="28" t="n"/>
      <c r="E21" s="28" t="n"/>
      <c r="F21" s="28" t="n"/>
      <c r="G21" s="28" t="n"/>
      <c r="H21" s="28" t="n"/>
      <c r="I21" s="46" t="n"/>
      <c r="J21" s="47" t="n"/>
    </row>
    <row r="22">
      <c r="A22" s="27" t="n"/>
      <c r="B22" s="15" t="inlineStr">
        <is>
          <t>总计（元）</t>
        </is>
      </c>
      <c r="C22" s="32" t="n"/>
      <c r="D22" s="32" t="n"/>
      <c r="E22" s="32" t="n"/>
      <c r="F22" s="32" t="n"/>
      <c r="G22" s="32" t="n"/>
      <c r="H22" s="33" t="n"/>
      <c r="I22" s="46" t="n"/>
      <c r="J22" s="47">
        <f>J14+J17+J20</f>
        <v/>
      </c>
    </row>
    <row r="24" ht="30" customHeight="1" s="31">
      <c r="A24" s="51" t="inlineStr">
        <is>
          <t>推荐选型方案（基于以上模块组合）</t>
        </is>
      </c>
    </row>
    <row r="25" ht="26" customHeight="1" s="31">
      <c r="A25" s="52" t="inlineStr">
        <is>
          <t>推荐方案</t>
        </is>
      </c>
      <c r="B25" s="52" t="inlineStr">
        <is>
          <t>包含模块</t>
        </is>
      </c>
      <c r="C25" s="52" t="inlineStr">
        <is>
          <t>核心必选金额（元）</t>
        </is>
      </c>
      <c r="D25" s="52" t="inlineStr">
        <is>
          <t>推荐全套金额（元）</t>
        </is>
      </c>
      <c r="E25" s="52" t="inlineStr"/>
      <c r="F25" s="52" t="inlineStr"/>
      <c r="G25" s="52" t="inlineStr"/>
      <c r="H25" s="52" t="inlineStr"/>
      <c r="I25" s="52" t="inlineStr"/>
      <c r="J25" s="52" t="inlineStr"/>
    </row>
    <row r="26" ht="28" customHeight="1" s="31">
      <c r="A26" s="53" t="inlineStr">
        <is>
          <t>方案一  训练与推理综合方案（推荐）</t>
        </is>
      </c>
      <c r="B26" s="54" t="n"/>
      <c r="C26" s="54" t="inlineStr">
        <is>
          <t>基础平台+GPU计算+分布式训练+分布式推理+实施（10人天）</t>
        </is>
      </c>
      <c r="D26" s="54" t="n"/>
      <c r="E26" s="54" t="n"/>
      <c r="F26" s="55" t="inlineStr">
        <is>
          <t>¥118,744</t>
        </is>
      </c>
      <c r="G26" s="55" t="inlineStr">
        <is>
          <t>¥154,744</t>
        </is>
      </c>
      <c r="H26" s="54" t="n"/>
      <c r="I26" s="54" t="n"/>
      <c r="J26" s="54" t="n"/>
    </row>
    <row r="27" ht="28" customHeight="1" s="31">
      <c r="A27" s="56" t="inlineStr">
        <is>
          <t>方案二  MaaS内部服务平台方案</t>
        </is>
      </c>
      <c r="B27" s="57" t="n"/>
      <c r="C27" s="57" t="inlineStr">
        <is>
          <t>基础平台+GPU计算+分布式推理+MaaS服务+实施（10人天）</t>
        </is>
      </c>
      <c r="D27" s="57" t="n"/>
      <c r="E27" s="57" t="n"/>
      <c r="F27" s="58" t="inlineStr">
        <is>
          <t>¥107,224</t>
        </is>
      </c>
      <c r="G27" s="58" t="inlineStr">
        <is>
          <t>¥148,392</t>
        </is>
      </c>
      <c r="H27" s="57" t="n"/>
      <c r="I27" s="57" t="n"/>
      <c r="J27" s="57" t="n"/>
    </row>
    <row r="29">
      <c r="A29" s="59" t="inlineStr">
        <is>
          <t>注：① 以上价格为License买断一次性价格，含首年维保；② 第2年起维保续费按软件模块授权费总额的10%/年；③ 本报价有效期三个月，最终价格以双方签署合同为准</t>
        </is>
      </c>
    </row>
  </sheetData>
  <mergeCells count="9">
    <mergeCell ref="A13:G13"/>
    <mergeCell ref="A1:J1"/>
    <mergeCell ref="B21:H21"/>
    <mergeCell ref="A29:J29"/>
    <mergeCell ref="A3:A12"/>
    <mergeCell ref="A16:G16"/>
    <mergeCell ref="A24:J24"/>
    <mergeCell ref="A2:J2"/>
    <mergeCell ref="B19:H19"/>
  </mergeCells>
  <pageMargins left="0.75" right="0.75" top="1" bottom="1" header="0.5" footer="0.5"/>
  <pageSetup orientation="portrait" paperSize="9" horizontalDpi="600" verticalDpi="6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huimiao</dc:creator>
  <dcterms:created xmlns:dcterms="http://purl.org/dc/terms/" xmlns:xsi="http://www.w3.org/2001/XMLSchema-instance" xsi:type="dcterms:W3CDTF">2024-03-16T18:40:00Z</dcterms:created>
  <dcterms:modified xmlns:dcterms="http://purl.org/dc/terms/" xmlns:xsi="http://www.w3.org/2001/XMLSchema-instance" xsi:type="dcterms:W3CDTF">2026-06-18T10:01:47Z</dcterms:modified>
  <cp:lastModifiedBy>Carson 杨</cp:lastModifiedBy>
  <cp:revision>3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79F50973AF444C6C80B4E49BC84D3BA6_13</vt:lpwstr>
  </property>
  <property name="KSOProductBuildVer" fmtid="{D5CDD505-2E9C-101B-9397-08002B2CF9AE}" pid="3">
    <vt:lpwstr xmlns:vt="http://schemas.openxmlformats.org/officeDocument/2006/docPropsVTypes">2052-12.1.0.26895</vt:lpwstr>
  </property>
  <property name="CalculationRule" fmtid="{D5CDD505-2E9C-101B-9397-08002B2CF9AE}" pid="4">
    <vt:i4 xmlns:vt="http://schemas.openxmlformats.org/officeDocument/2006/docPropsVTypes">0</vt:i4>
  </property>
</Properties>
</file>